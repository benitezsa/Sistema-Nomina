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edescanoasoc.sharepoint.com/sites/FILESERVER26/Documentos compartidos/FILE PAREDESCANO 26/09 - RECURSOS HUMANOS 2026/NOMINA 2026/GERENCIA DE RIESGOS/UTILIDADES/"/>
    </mc:Choice>
  </mc:AlternateContent>
  <xr:revisionPtr revIDLastSave="222" documentId="10_ncr:80000000_{82802E29-5B44-4E86-80F6-F4FD34AF21EC}" xr6:coauthVersionLast="47" xr6:coauthVersionMax="47" xr10:uidLastSave="{1C4709ED-0837-464C-97FF-A049CAEF5280}"/>
  <bookViews>
    <workbookView xWindow="-108" yWindow="-108" windowWidth="23256" windowHeight="12456" activeTab="1" xr2:uid="{7D1160FD-D3E4-43C3-A122-2FB81F534B6F}"/>
  </bookViews>
  <sheets>
    <sheet name="dias mes" sheetId="8" r:id="rId1"/>
    <sheet name="UTILIDADES" sheetId="5" r:id="rId2"/>
    <sheet name="BOLETA" sheetId="9" r:id="rId3"/>
    <sheet name="DIAS" sheetId="1" r:id="rId4"/>
    <sheet name="REM" sheetId="3" r:id="rId5"/>
    <sheet name="DIC_2025" sheetId="2" r:id="rId6"/>
    <sheet name="PLAME" sheetId="6" r:id="rId7"/>
    <sheet name="5TA" sheetId="4" r:id="rId8"/>
  </sheets>
  <externalReferences>
    <externalReference r:id="rId9"/>
    <externalReference r:id="rId10"/>
    <externalReference r:id="rId11"/>
    <externalReference r:id="rId12"/>
  </externalReferences>
  <definedNames>
    <definedName name="_1___Excel_BuiltIn__FilterDatabase_1_1" localSheetId="2">#REF!</definedName>
    <definedName name="_1___Excel_BuiltIn__FilterDatabase_1_1">#REF!</definedName>
    <definedName name="_10__Excel_BuiltIn__FilterDatabase_5_1" localSheetId="2">#REF!</definedName>
    <definedName name="_10__Excel_BuiltIn__FilterDatabase_5_1">#REF!</definedName>
    <definedName name="_11_Excel_BuiltIn__FilterDatabase_1_1" localSheetId="2">#REF!</definedName>
    <definedName name="_11_Excel_BuiltIn__FilterDatabase_1_1">#REF!</definedName>
    <definedName name="_12_Excel_BuiltIn__FilterDatabase_2_1">#REF!</definedName>
    <definedName name="_13_Excel_BuiltIn__FilterDatabase_3_1">#REF!</definedName>
    <definedName name="_14_Excel_BuiltIn__FilterDatabase_4_1">#REF!</definedName>
    <definedName name="_15_Excel_BuiltIn__FilterDatabase_5_1">#REF!</definedName>
    <definedName name="_1Excel_BuiltIn__FilterDatabase_1_1">#REF!</definedName>
    <definedName name="_2___Excel_BuiltIn__FilterDatabase_2_1">#REF!</definedName>
    <definedName name="_2Excel_BuiltIn__FilterDatabase_2_1">#REF!</definedName>
    <definedName name="_3___Excel_BuiltIn__FilterDatabase_3_1">#REF!</definedName>
    <definedName name="_3Excel_BuiltIn__FilterDatabase_3_1">#REF!</definedName>
    <definedName name="_4___Excel_BuiltIn__FilterDatabase_4_1">#REF!</definedName>
    <definedName name="_4Excel_BuiltIn__FilterDatabase_4_1">#REF!</definedName>
    <definedName name="_5___Excel_BuiltIn__FilterDatabase_5_1">#REF!</definedName>
    <definedName name="_5Excel_BuiltIn__FilterDatabase_5_1">#REF!</definedName>
    <definedName name="_6__Excel_BuiltIn__FilterDatabase_1_1">#REF!</definedName>
    <definedName name="_7__Excel_BuiltIn__FilterDatabase_2_1">#REF!</definedName>
    <definedName name="_8__Excel_BuiltIn__FilterDatabase_3_1">#REF!</definedName>
    <definedName name="_9__Excel_BuiltIn__FilterDatabase_4_1">#REF!</definedName>
    <definedName name="_xlnm._FilterDatabase" localSheetId="3" hidden="1">DIAS!$A$10:$R$48</definedName>
    <definedName name="a" localSheetId="2">#REF!</definedName>
    <definedName name="a">#REF!</definedName>
    <definedName name="aa">#REF!</definedName>
    <definedName name="AAAAAA" localSheetId="2">#REF!</definedName>
    <definedName name="AAAAAA">#REF!</definedName>
    <definedName name="aasqsadh" localSheetId="2">#REF!</definedName>
    <definedName name="aasqsadh">#REF!</definedName>
    <definedName name="ABRIL">#REF!</definedName>
    <definedName name="AFAM" localSheetId="2">'[2]GRATI JULIO'!#REF!</definedName>
    <definedName name="AFAM">'[3]GRATI JULIO'!#REF!</definedName>
    <definedName name="AFP" localSheetId="2">[4]AFP!$A$5:$E$9</definedName>
    <definedName name="AFP">#REF!</definedName>
    <definedName name="AGOSTO">#REF!</definedName>
    <definedName name="_xlnm.Print_Area" localSheetId="2">BOLETA!$A$3:$K$83</definedName>
    <definedName name="ASIG_FAM" localSheetId="2">#REF!</definedName>
    <definedName name="ASIG_FAM">#REF!</definedName>
    <definedName name="BANCO" localSheetId="2">'[2]GRATI JULIO'!#REF!</definedName>
    <definedName name="BANCO">'[3]GRATI JULIO'!#REF!</definedName>
    <definedName name="BASE" localSheetId="2">'[2]GRATI JULIO'!#REF!</definedName>
    <definedName name="BASE">'[3]GRATI JULIO'!#REF!</definedName>
    <definedName name="BASE_AFECTA">#REF!</definedName>
    <definedName name="BASE_RETENCION">#REF!</definedName>
    <definedName name="_xlnm.Database" localSheetId="2">#REF!</definedName>
    <definedName name="_xlnm.Database">#REF!</definedName>
    <definedName name="BASICO" localSheetId="2">#REF!</definedName>
    <definedName name="BASICO">#REF!</definedName>
    <definedName name="cadddd" localSheetId="2">#REF!</definedName>
    <definedName name="cadddd">#REF!</definedName>
    <definedName name="CODIGO">#REF!</definedName>
    <definedName name="CTS">#REF!</definedName>
    <definedName name="CUENTA" localSheetId="2">'[2]GRATI JULIO'!#REF!</definedName>
    <definedName name="CUENTA">'[3]GRATI JULIO'!#REF!</definedName>
    <definedName name="DATA" localSheetId="2">[4]DATA!$A$10:$U$25</definedName>
    <definedName name="DATA">#REF!</definedName>
    <definedName name="DDDDDDD">#REF!</definedName>
    <definedName name="DEPOSITO">#REF!</definedName>
    <definedName name="DNI">#REF!</definedName>
    <definedName name="Excel_BuiltIn__FilterDatabase_1" localSheetId="2">#REF!</definedName>
    <definedName name="Excel_BuiltIn__FilterDatabase_1">#REF!</definedName>
    <definedName name="Excel_BuiltIn__FilterDatabase_2" localSheetId="2">#REF!</definedName>
    <definedName name="Excel_BuiltIn__FilterDatabase_2">#REF!</definedName>
    <definedName name="Excel_BuiltIn__FilterDatabase_4" localSheetId="2">#REF!</definedName>
    <definedName name="Excel_BuiltIn__FilterDatabase_4">#REF!</definedName>
    <definedName name="Excel_BuiltIn__FilterDatabase_5">#REF!</definedName>
    <definedName name="F_INI">#REF!</definedName>
    <definedName name="GRATI" localSheetId="2">'[2]GRATI JULIO'!#REF!</definedName>
    <definedName name="GRATI">'[3]GRATI JULIO'!#REF!</definedName>
    <definedName name="GRATIF" localSheetId="2">'[2]GRATI JULIO'!#REF!</definedName>
    <definedName name="GRATIF">'[3]GRATI JULIO'!#REF!</definedName>
    <definedName name="INT_ANU" localSheetId="2">'[2]GRATI JULIO'!#REF!</definedName>
    <definedName name="INT_ANU">'[3]GRATI JULIO'!#REF!</definedName>
    <definedName name="INT_DIA" localSheetId="2">'[2]GRATI JULIO'!#REF!</definedName>
    <definedName name="INT_DIA">'[3]GRATI JULIO'!#REF!</definedName>
    <definedName name="JULIO">#REF!</definedName>
    <definedName name="JUNIO">#REF!</definedName>
    <definedName name="LUIS" localSheetId="2">#REF!</definedName>
    <definedName name="LUIS">#REF!</definedName>
    <definedName name="LUISS" localSheetId="2">#REF!</definedName>
    <definedName name="LUISS">#REF!</definedName>
    <definedName name="MAYO">#REF!</definedName>
    <definedName name="MayorCTS" localSheetId="2">#REF!</definedName>
    <definedName name="MayorCTS">#REF!</definedName>
    <definedName name="MayorGratificacion">#REF!</definedName>
    <definedName name="MayorVacaciones">#REF!</definedName>
    <definedName name="MONEDA" localSheetId="2">'[2]GRATI JULIO'!#REF!</definedName>
    <definedName name="MONEDA">'[3]GRATI JULIO'!#REF!</definedName>
    <definedName name="OCTUBRE">#REF!</definedName>
    <definedName name="PAGO_CTS">#REF!</definedName>
    <definedName name="PLANI" localSheetId="2">#REF!</definedName>
    <definedName name="PLANI">#REF!</definedName>
    <definedName name="planilla" localSheetId="2">#REF!</definedName>
    <definedName name="planilla">#REF!</definedName>
    <definedName name="ProvCTS" localSheetId="2">#REF!</definedName>
    <definedName name="ProvCTS">#REF!</definedName>
    <definedName name="ProvGratificacion">#REF!</definedName>
    <definedName name="ProvVacaciones">#REF!</definedName>
    <definedName name="qqq">#REF!</definedName>
    <definedName name="REINTEGRO_INF">#REF!</definedName>
    <definedName name="RET_JUDICIAL">#REF!</definedName>
    <definedName name="sasa">#REF!</definedName>
    <definedName name="SEPTIEMBRE">#REF!</definedName>
    <definedName name="SEXTOGRATI">#REF!</definedName>
    <definedName name="ss">#REF!</definedName>
    <definedName name="SUBSIDIO">#REF!</definedName>
    <definedName name="TOTA_INT" localSheetId="2">'[2]GRATI JULIO'!#REF!</definedName>
    <definedName name="TOTA_INT">'[3]GRATI JULIO'!#REF!</definedName>
    <definedName name="TOTAL_DIAS" localSheetId="2">#REF!</definedName>
    <definedName name="TOTAL_DIAS">#REF!</definedName>
    <definedName name="TOTAL_DSCT">#REF!</definedName>
    <definedName name="TOTAL_ING">#REF!</definedName>
    <definedName name="TRABAJADOR">#REF!</definedName>
    <definedName name="VAC">#REF!</definedName>
    <definedName name="VAGOSTO">#REF!</definedName>
    <definedName name="VALOR_DIA">#REF!</definedName>
    <definedName name="VJULIO">#REF!</definedName>
    <definedName name="VJUNIO">#REF!</definedName>
    <definedName name="VMAYO">#REF!</definedName>
    <definedName name="VOCT">#REF!</definedName>
    <definedName name="VSEPTIEMB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9" l="1"/>
  <c r="J59" i="9" s="1"/>
  <c r="C19" i="9"/>
  <c r="B76" i="9" s="1"/>
  <c r="J45" i="9"/>
  <c r="J36" i="9"/>
  <c r="J25" i="9"/>
  <c r="J29" i="9"/>
  <c r="J49" i="9" l="1"/>
  <c r="J55" i="9" s="1"/>
  <c r="J38" i="9"/>
  <c r="J40" i="9"/>
  <c r="J53" i="9" s="1"/>
  <c r="C77" i="9"/>
  <c r="J47" i="9"/>
  <c r="J57" i="9" l="1"/>
  <c r="J61" i="9" s="1"/>
  <c r="G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S20" i="8"/>
  <c r="S19" i="8"/>
  <c r="AU19" i="8" s="1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R20" i="8"/>
  <c r="R19" i="8"/>
  <c r="R18" i="8"/>
  <c r="R17" i="8"/>
  <c r="R16" i="8"/>
  <c r="R15" i="8"/>
  <c r="R14" i="8"/>
  <c r="R13" i="8"/>
  <c r="R12" i="8"/>
  <c r="R11" i="8"/>
  <c r="R10" i="8"/>
  <c r="R9" i="8"/>
  <c r="AT9" i="8" s="1"/>
  <c r="R8" i="8"/>
  <c r="R7" i="8"/>
  <c r="R6" i="8"/>
  <c r="AT6" i="8" s="1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O20" i="8"/>
  <c r="O19" i="8"/>
  <c r="O18" i="8"/>
  <c r="O17" i="8"/>
  <c r="O16" i="8"/>
  <c r="O15" i="8"/>
  <c r="AQ15" i="8" s="1"/>
  <c r="O14" i="8"/>
  <c r="O13" i="8"/>
  <c r="O12" i="8"/>
  <c r="O11" i="8"/>
  <c r="O10" i="8"/>
  <c r="O9" i="8"/>
  <c r="O8" i="8"/>
  <c r="O7" i="8"/>
  <c r="O6" i="8"/>
  <c r="N20" i="8"/>
  <c r="N19" i="8"/>
  <c r="AP19" i="8" s="1"/>
  <c r="N18" i="8"/>
  <c r="AP18" i="8" s="1"/>
  <c r="N17" i="8"/>
  <c r="N16" i="8"/>
  <c r="N15" i="8"/>
  <c r="N14" i="8"/>
  <c r="N13" i="8"/>
  <c r="N12" i="8"/>
  <c r="N11" i="8"/>
  <c r="N10" i="8"/>
  <c r="N9" i="8"/>
  <c r="N8" i="8"/>
  <c r="N7" i="8"/>
  <c r="N6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K20" i="8"/>
  <c r="K19" i="8"/>
  <c r="K18" i="8"/>
  <c r="K17" i="8"/>
  <c r="K16" i="8"/>
  <c r="K15" i="8"/>
  <c r="K14" i="8"/>
  <c r="K13" i="8"/>
  <c r="K12" i="8"/>
  <c r="K11" i="8"/>
  <c r="AM11" i="8" s="1"/>
  <c r="K10" i="8"/>
  <c r="K9" i="8"/>
  <c r="K8" i="8"/>
  <c r="K7" i="8"/>
  <c r="K6" i="8"/>
  <c r="J20" i="8"/>
  <c r="AI20" i="8"/>
  <c r="AH20" i="8"/>
  <c r="AG20" i="8"/>
  <c r="AF20" i="8"/>
  <c r="AE20" i="8"/>
  <c r="AD20" i="8"/>
  <c r="AC20" i="8"/>
  <c r="AB20" i="8"/>
  <c r="AA20" i="8"/>
  <c r="Z20" i="8"/>
  <c r="Y20" i="8"/>
  <c r="AI19" i="8"/>
  <c r="AH19" i="8"/>
  <c r="AG19" i="8"/>
  <c r="AF19" i="8"/>
  <c r="AE19" i="8"/>
  <c r="AD19" i="8"/>
  <c r="AC19" i="8"/>
  <c r="AB19" i="8"/>
  <c r="AA19" i="8"/>
  <c r="Z19" i="8"/>
  <c r="Y19" i="8"/>
  <c r="AI18" i="8"/>
  <c r="AW18" i="8" s="1"/>
  <c r="AH18" i="8"/>
  <c r="AG18" i="8"/>
  <c r="AF18" i="8"/>
  <c r="AE18" i="8"/>
  <c r="AD18" i="8"/>
  <c r="AC18" i="8"/>
  <c r="AB18" i="8"/>
  <c r="AA18" i="8"/>
  <c r="Z18" i="8"/>
  <c r="Y18" i="8"/>
  <c r="AI17" i="8"/>
  <c r="AH17" i="8"/>
  <c r="AV17" i="8" s="1"/>
  <c r="AG17" i="8"/>
  <c r="AU17" i="8" s="1"/>
  <c r="AF17" i="8"/>
  <c r="AE17" i="8"/>
  <c r="AD17" i="8"/>
  <c r="AC17" i="8"/>
  <c r="AB17" i="8"/>
  <c r="AA17" i="8"/>
  <c r="Z17" i="8"/>
  <c r="Y17" i="8"/>
  <c r="AI16" i="8"/>
  <c r="AH16" i="8"/>
  <c r="AG16" i="8"/>
  <c r="AF16" i="8"/>
  <c r="AE16" i="8"/>
  <c r="AD16" i="8"/>
  <c r="AC16" i="8"/>
  <c r="AB16" i="8"/>
  <c r="AA16" i="8"/>
  <c r="Z16" i="8"/>
  <c r="Y16" i="8"/>
  <c r="AI15" i="8"/>
  <c r="AW15" i="8" s="1"/>
  <c r="AH15" i="8"/>
  <c r="AG15" i="8"/>
  <c r="AF15" i="8"/>
  <c r="AE15" i="8"/>
  <c r="AD15" i="8"/>
  <c r="AC15" i="8"/>
  <c r="AB15" i="8"/>
  <c r="AA15" i="8"/>
  <c r="Z15" i="8"/>
  <c r="Y15" i="8"/>
  <c r="AI14" i="8"/>
  <c r="AH14" i="8"/>
  <c r="AG14" i="8"/>
  <c r="AF14" i="8"/>
  <c r="AT14" i="8" s="1"/>
  <c r="AE14" i="8"/>
  <c r="AD14" i="8"/>
  <c r="AC14" i="8"/>
  <c r="AB14" i="8"/>
  <c r="AA14" i="8"/>
  <c r="Z14" i="8"/>
  <c r="Y14" i="8"/>
  <c r="AI13" i="8"/>
  <c r="AH13" i="8"/>
  <c r="AG13" i="8"/>
  <c r="AF13" i="8"/>
  <c r="AE13" i="8"/>
  <c r="AD13" i="8"/>
  <c r="AC13" i="8"/>
  <c r="AB13" i="8"/>
  <c r="AA13" i="8"/>
  <c r="Z13" i="8"/>
  <c r="Y13" i="8"/>
  <c r="AI12" i="8"/>
  <c r="AH12" i="8"/>
  <c r="AG12" i="8"/>
  <c r="AF12" i="8"/>
  <c r="AE12" i="8"/>
  <c r="AD12" i="8"/>
  <c r="AC12" i="8"/>
  <c r="AB12" i="8"/>
  <c r="AA12" i="8"/>
  <c r="Z12" i="8"/>
  <c r="Y12" i="8"/>
  <c r="AI11" i="8"/>
  <c r="AH11" i="8"/>
  <c r="AG11" i="8"/>
  <c r="AF11" i="8"/>
  <c r="AE11" i="8"/>
  <c r="AD11" i="8"/>
  <c r="AR11" i="8" s="1"/>
  <c r="AC11" i="8"/>
  <c r="AB11" i="8"/>
  <c r="AA11" i="8"/>
  <c r="Z11" i="8"/>
  <c r="Y11" i="8"/>
  <c r="AI10" i="8"/>
  <c r="AH10" i="8"/>
  <c r="AG10" i="8"/>
  <c r="AF10" i="8"/>
  <c r="AE10" i="8"/>
  <c r="AD10" i="8"/>
  <c r="AC10" i="8"/>
  <c r="AQ10" i="8" s="1"/>
  <c r="AB10" i="8"/>
  <c r="AA10" i="8"/>
  <c r="Z10" i="8"/>
  <c r="AN10" i="8" s="1"/>
  <c r="Y10" i="8"/>
  <c r="AI9" i="8"/>
  <c r="AH9" i="8"/>
  <c r="AG9" i="8"/>
  <c r="AF9" i="8"/>
  <c r="AE9" i="8"/>
  <c r="AD9" i="8"/>
  <c r="AC9" i="8"/>
  <c r="AB9" i="8"/>
  <c r="AA9" i="8"/>
  <c r="Z9" i="8"/>
  <c r="Y9" i="8"/>
  <c r="AI8" i="8"/>
  <c r="AH8" i="8"/>
  <c r="AG8" i="8"/>
  <c r="AF8" i="8"/>
  <c r="AE8" i="8"/>
  <c r="AD8" i="8"/>
  <c r="AC8" i="8"/>
  <c r="AB8" i="8"/>
  <c r="AA8" i="8"/>
  <c r="Z8" i="8"/>
  <c r="Y8" i="8"/>
  <c r="AI7" i="8"/>
  <c r="AH7" i="8"/>
  <c r="AG7" i="8"/>
  <c r="AF7" i="8"/>
  <c r="AE7" i="8"/>
  <c r="AD7" i="8"/>
  <c r="AC7" i="8"/>
  <c r="AB7" i="8"/>
  <c r="AA7" i="8"/>
  <c r="Z7" i="8"/>
  <c r="Y7" i="8"/>
  <c r="AI6" i="8"/>
  <c r="AH6" i="8"/>
  <c r="AG6" i="8"/>
  <c r="AF6" i="8"/>
  <c r="AE6" i="8"/>
  <c r="AD6" i="8"/>
  <c r="AC6" i="8"/>
  <c r="AB6" i="8"/>
  <c r="AA6" i="8"/>
  <c r="Z6" i="8"/>
  <c r="Y6" i="8"/>
  <c r="X20" i="8"/>
  <c r="AL20" i="8" s="1"/>
  <c r="X19" i="8"/>
  <c r="AJ19" i="8" s="1"/>
  <c r="X18" i="8"/>
  <c r="AL18" i="8" s="1"/>
  <c r="X17" i="8"/>
  <c r="X16" i="8"/>
  <c r="X15" i="8"/>
  <c r="X14" i="8"/>
  <c r="X13" i="8"/>
  <c r="X12" i="8"/>
  <c r="X11" i="8"/>
  <c r="X10" i="8"/>
  <c r="X9" i="8"/>
  <c r="X8" i="8"/>
  <c r="X7" i="8"/>
  <c r="X6" i="8"/>
  <c r="J7" i="8"/>
  <c r="AL7" i="8" s="1"/>
  <c r="J8" i="8"/>
  <c r="AL8" i="8" s="1"/>
  <c r="J9" i="8"/>
  <c r="AL9" i="8" s="1"/>
  <c r="J10" i="8"/>
  <c r="AL10" i="8" s="1"/>
  <c r="J11" i="8"/>
  <c r="J12" i="8"/>
  <c r="J13" i="8"/>
  <c r="J14" i="8"/>
  <c r="J15" i="8"/>
  <c r="J16" i="8"/>
  <c r="J17" i="8"/>
  <c r="J18" i="8"/>
  <c r="J19" i="8"/>
  <c r="J6" i="8"/>
  <c r="U20" i="8"/>
  <c r="AW20" i="8" s="1"/>
  <c r="L57" i="1"/>
  <c r="G57" i="1"/>
  <c r="L44" i="1"/>
  <c r="L47" i="1"/>
  <c r="L46" i="1"/>
  <c r="L45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AR15" i="8" l="1"/>
  <c r="AV19" i="8"/>
  <c r="AS9" i="8"/>
  <c r="AW13" i="8"/>
  <c r="AO17" i="8"/>
  <c r="AP14" i="8"/>
  <c r="AT18" i="8"/>
  <c r="AJ16" i="8"/>
  <c r="AO19" i="8"/>
  <c r="AN19" i="8"/>
  <c r="AT10" i="8"/>
  <c r="AJ12" i="8"/>
  <c r="AF21" i="8"/>
  <c r="Y21" i="8"/>
  <c r="AB21" i="8"/>
  <c r="AJ9" i="8"/>
  <c r="AN18" i="8"/>
  <c r="AQ6" i="8"/>
  <c r="AU10" i="8"/>
  <c r="X21" i="8"/>
  <c r="AA21" i="8"/>
  <c r="AD21" i="8"/>
  <c r="AM18" i="8"/>
  <c r="AM19" i="8"/>
  <c r="AU13" i="8"/>
  <c r="AL13" i="8"/>
  <c r="AS13" i="8"/>
  <c r="AV16" i="8"/>
  <c r="Z21" i="8"/>
  <c r="AJ7" i="8"/>
  <c r="AJ8" i="8"/>
  <c r="AC21" i="8"/>
  <c r="AJ10" i="8"/>
  <c r="AJ11" i="8"/>
  <c r="AQ9" i="8"/>
  <c r="AL14" i="8"/>
  <c r="AR13" i="8"/>
  <c r="AE21" i="8"/>
  <c r="AJ13" i="8"/>
  <c r="AL11" i="8"/>
  <c r="AJ17" i="8"/>
  <c r="AI21" i="8"/>
  <c r="AJ14" i="8"/>
  <c r="AH21" i="8"/>
  <c r="AG21" i="8"/>
  <c r="AT16" i="8"/>
  <c r="AJ15" i="8"/>
  <c r="AJ6" i="8"/>
  <c r="AS17" i="8"/>
  <c r="AU16" i="8"/>
  <c r="AM12" i="8"/>
  <c r="AN13" i="8"/>
  <c r="AP15" i="8"/>
  <c r="AQ16" i="8"/>
  <c r="AR17" i="8"/>
  <c r="AT19" i="8"/>
  <c r="AU20" i="8"/>
  <c r="AM13" i="8"/>
  <c r="AO15" i="8"/>
  <c r="AP16" i="8"/>
  <c r="AQ17" i="8"/>
  <c r="AS19" i="8"/>
  <c r="AT20" i="8"/>
  <c r="AW7" i="8"/>
  <c r="AO8" i="8"/>
  <c r="AM14" i="8"/>
  <c r="AN15" i="8"/>
  <c r="AO16" i="8"/>
  <c r="AP17" i="8"/>
  <c r="AQ18" i="8"/>
  <c r="AR19" i="8"/>
  <c r="AS20" i="8"/>
  <c r="AU6" i="8"/>
  <c r="AV7" i="8"/>
  <c r="AW8" i="8"/>
  <c r="AJ18" i="8"/>
  <c r="AJ20" i="8"/>
  <c r="AW17" i="8"/>
  <c r="AP9" i="8"/>
  <c r="AS16" i="8"/>
  <c r="AN12" i="8"/>
  <c r="AR16" i="8"/>
  <c r="AV20" i="8"/>
  <c r="AO11" i="8"/>
  <c r="AW19" i="8"/>
  <c r="AM15" i="8"/>
  <c r="AN16" i="8"/>
  <c r="AQ19" i="8"/>
  <c r="AR20" i="8"/>
  <c r="AU7" i="8"/>
  <c r="AV8" i="8"/>
  <c r="AQ8" i="8"/>
  <c r="AT15" i="8"/>
  <c r="AO18" i="8"/>
  <c r="AS6" i="8"/>
  <c r="AW10" i="8"/>
  <c r="AL12" i="8"/>
  <c r="AL16" i="8"/>
  <c r="AW9" i="8"/>
  <c r="M21" i="8"/>
  <c r="AU18" i="8"/>
  <c r="AN14" i="8"/>
  <c r="AR18" i="8"/>
  <c r="AV6" i="8"/>
  <c r="AU11" i="8"/>
  <c r="AL6" i="8"/>
  <c r="AM20" i="8"/>
  <c r="AR9" i="8"/>
  <c r="AV13" i="8"/>
  <c r="AS18" i="8"/>
  <c r="AO20" i="8"/>
  <c r="AL19" i="8"/>
  <c r="AT12" i="8"/>
  <c r="AN7" i="8"/>
  <c r="AS12" i="8"/>
  <c r="AU14" i="8"/>
  <c r="AW16" i="8"/>
  <c r="AQ20" i="8"/>
  <c r="AM17" i="8"/>
  <c r="AP20" i="8"/>
  <c r="AS11" i="8"/>
  <c r="AL17" i="8"/>
  <c r="U21" i="8"/>
  <c r="AQ14" i="8"/>
  <c r="AM16" i="8"/>
  <c r="AN20" i="8"/>
  <c r="AP8" i="8"/>
  <c r="AQ12" i="8"/>
  <c r="AO14" i="8"/>
  <c r="AN17" i="8"/>
  <c r="AR7" i="8"/>
  <c r="AV11" i="8"/>
  <c r="AL15" i="8"/>
  <c r="AO13" i="8"/>
  <c r="AT7" i="8"/>
  <c r="AU8" i="8"/>
  <c r="AV9" i="8"/>
  <c r="R21" i="8"/>
  <c r="AR6" i="8"/>
  <c r="Q21" i="8"/>
  <c r="AT8" i="8"/>
  <c r="AU9" i="8"/>
  <c r="AV10" i="8"/>
  <c r="AW11" i="8"/>
  <c r="AS8" i="8"/>
  <c r="AW12" i="8"/>
  <c r="N21" i="8"/>
  <c r="AO6" i="8"/>
  <c r="AV15" i="8"/>
  <c r="AW6" i="8"/>
  <c r="AN8" i="8"/>
  <c r="AO9" i="8"/>
  <c r="AP10" i="8"/>
  <c r="AQ11" i="8"/>
  <c r="AR12" i="8"/>
  <c r="AU15" i="8"/>
  <c r="AR8" i="8"/>
  <c r="AS10" i="8"/>
  <c r="AO7" i="8"/>
  <c r="AR10" i="8"/>
  <c r="AT13" i="8"/>
  <c r="AM8" i="8"/>
  <c r="AN9" i="8"/>
  <c r="AO10" i="8"/>
  <c r="AP11" i="8"/>
  <c r="AS14" i="8"/>
  <c r="O21" i="8"/>
  <c r="AP7" i="8"/>
  <c r="AT11" i="8"/>
  <c r="AW14" i="8"/>
  <c r="AM9" i="8"/>
  <c r="AP12" i="8"/>
  <c r="AQ13" i="8"/>
  <c r="AR14" i="8"/>
  <c r="AS15" i="8"/>
  <c r="AV18" i="8"/>
  <c r="AV12" i="8"/>
  <c r="AU12" i="8"/>
  <c r="AN6" i="8"/>
  <c r="AV14" i="8"/>
  <c r="AM10" i="8"/>
  <c r="AN11" i="8"/>
  <c r="AO12" i="8"/>
  <c r="AP13" i="8"/>
  <c r="AT17" i="8"/>
  <c r="T21" i="8"/>
  <c r="S21" i="8"/>
  <c r="V19" i="8"/>
  <c r="AS7" i="8"/>
  <c r="P21" i="8"/>
  <c r="AQ7" i="8"/>
  <c r="AP6" i="8"/>
  <c r="V7" i="8"/>
  <c r="V13" i="8"/>
  <c r="V6" i="8"/>
  <c r="L21" i="8"/>
  <c r="K21" i="8"/>
  <c r="V16" i="8"/>
  <c r="V8" i="8"/>
  <c r="V11" i="8"/>
  <c r="V10" i="8"/>
  <c r="AM7" i="8"/>
  <c r="AM6" i="8"/>
  <c r="V9" i="8"/>
  <c r="J21" i="8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O11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AJ21" i="8" l="1"/>
  <c r="AX19" i="8"/>
  <c r="AT21" i="8"/>
  <c r="AQ21" i="8"/>
  <c r="AX16" i="8"/>
  <c r="AX9" i="8"/>
  <c r="AX20" i="8"/>
  <c r="AX17" i="8"/>
  <c r="AL21" i="8"/>
  <c r="AV21" i="8"/>
  <c r="AN21" i="8"/>
  <c r="AS21" i="8"/>
  <c r="AR21" i="8"/>
  <c r="AO21" i="8"/>
  <c r="AP21" i="8"/>
  <c r="AU21" i="8"/>
  <c r="AW21" i="8"/>
  <c r="AX8" i="8"/>
  <c r="AX18" i="8"/>
  <c r="AM21" i="8"/>
  <c r="AX14" i="8"/>
  <c r="AX12" i="8"/>
  <c r="AX13" i="8"/>
  <c r="AX11" i="8"/>
  <c r="AX15" i="8"/>
  <c r="AX10" i="8"/>
  <c r="AX6" i="8"/>
  <c r="AX7" i="8"/>
  <c r="V21" i="8"/>
  <c r="V14" i="8"/>
  <c r="V12" i="8"/>
  <c r="O7" i="4"/>
  <c r="N7" i="4"/>
  <c r="M7" i="4"/>
  <c r="L7" i="4"/>
  <c r="K7" i="4"/>
  <c r="J7" i="4"/>
  <c r="I7" i="4"/>
  <c r="H7" i="4"/>
  <c r="G7" i="4"/>
  <c r="F7" i="4"/>
  <c r="E7" i="4"/>
  <c r="D7" i="4"/>
  <c r="C7" i="4"/>
  <c r="J65" i="1"/>
  <c r="L65" i="1" s="1"/>
  <c r="J58" i="1"/>
  <c r="L58" i="1" s="1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V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U208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V155" i="6"/>
  <c r="L139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V119" i="6"/>
  <c r="W119" i="6" s="1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B7" i="4"/>
  <c r="H25" i="5"/>
  <c r="H11" i="5"/>
  <c r="H9" i="5"/>
  <c r="H8" i="5"/>
  <c r="H7" i="5"/>
  <c r="U18" i="3"/>
  <c r="H20" i="5" s="1"/>
  <c r="U17" i="3"/>
  <c r="U16" i="3"/>
  <c r="H18" i="5" s="1"/>
  <c r="U15" i="3"/>
  <c r="H6" i="5" s="1"/>
  <c r="U14" i="3"/>
  <c r="U13" i="3"/>
  <c r="H16" i="5" s="1"/>
  <c r="U12" i="3"/>
  <c r="H19" i="5" s="1"/>
  <c r="U11" i="3"/>
  <c r="H10" i="5" s="1"/>
  <c r="U10" i="3"/>
  <c r="H15" i="5" s="1"/>
  <c r="U9" i="3"/>
  <c r="U8" i="3"/>
  <c r="U7" i="3"/>
  <c r="H17" i="5" s="1"/>
  <c r="U6" i="3"/>
  <c r="H12" i="5" s="1"/>
  <c r="U5" i="3"/>
  <c r="H13" i="5" s="1"/>
  <c r="U4" i="3"/>
  <c r="H14" i="5" s="1"/>
  <c r="J62" i="1"/>
  <c r="J71" i="1"/>
  <c r="L71" i="1" s="1"/>
  <c r="J60" i="1"/>
  <c r="J68" i="1"/>
  <c r="L68" i="1" s="1"/>
  <c r="J57" i="1"/>
  <c r="J59" i="1"/>
  <c r="L59" i="1" s="1"/>
  <c r="G8" i="5" s="1"/>
  <c r="J67" i="1"/>
  <c r="L67" i="1" s="1"/>
  <c r="J66" i="1"/>
  <c r="L66" i="1" s="1"/>
  <c r="J64" i="1"/>
  <c r="L64" i="1" s="1"/>
  <c r="J63" i="1"/>
  <c r="L63" i="1" s="1"/>
  <c r="T19" i="3"/>
  <c r="S19" i="3"/>
  <c r="R19" i="3"/>
  <c r="Q19" i="3"/>
  <c r="P19" i="3"/>
  <c r="O19" i="3"/>
  <c r="N19" i="3"/>
  <c r="M19" i="3"/>
  <c r="L19" i="3"/>
  <c r="K19" i="3"/>
  <c r="J19" i="3"/>
  <c r="I19" i="3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57" i="1"/>
  <c r="O57" i="1" s="1"/>
  <c r="AW21" i="2"/>
  <c r="AV21" i="2"/>
  <c r="AN21" i="2"/>
  <c r="AM21" i="2"/>
  <c r="AL21" i="2"/>
  <c r="AI21" i="2"/>
  <c r="AC21" i="2"/>
  <c r="AB21" i="2"/>
  <c r="AX19" i="2"/>
  <c r="AX21" i="2"/>
  <c r="AQ19" i="2"/>
  <c r="AP19" i="2"/>
  <c r="AO19" i="2"/>
  <c r="V19" i="2"/>
  <c r="AH19" i="2" s="1"/>
  <c r="U19" i="2"/>
  <c r="AQ18" i="2"/>
  <c r="AP18" i="2"/>
  <c r="AO18" i="2"/>
  <c r="X18" i="2"/>
  <c r="X21" i="2" s="1"/>
  <c r="W18" i="2"/>
  <c r="V18" i="2"/>
  <c r="AE18" i="2" s="1"/>
  <c r="U18" i="2"/>
  <c r="AQ17" i="2"/>
  <c r="AP17" i="2"/>
  <c r="AR17" i="2"/>
  <c r="AO17" i="2"/>
  <c r="V17" i="2"/>
  <c r="AE17" i="2" s="1"/>
  <c r="U17" i="2"/>
  <c r="AQ16" i="2"/>
  <c r="AP16" i="2"/>
  <c r="AO16" i="2"/>
  <c r="AR16" i="2" s="1"/>
  <c r="V16" i="2"/>
  <c r="AE16" i="2" s="1"/>
  <c r="U16" i="2"/>
  <c r="AQ15" i="2"/>
  <c r="AR15" i="2" s="1"/>
  <c r="AP15" i="2"/>
  <c r="AO15" i="2"/>
  <c r="X15" i="2"/>
  <c r="W15" i="2"/>
  <c r="W21" i="2"/>
  <c r="V15" i="2"/>
  <c r="AE15" i="2"/>
  <c r="AS15" i="2" s="1"/>
  <c r="U15" i="2"/>
  <c r="AQ14" i="2"/>
  <c r="AP14" i="2"/>
  <c r="AO14" i="2"/>
  <c r="AR14" i="2"/>
  <c r="AE14" i="2"/>
  <c r="AS14" i="2" s="1"/>
  <c r="V14" i="2"/>
  <c r="U14" i="2"/>
  <c r="AQ13" i="2"/>
  <c r="AP13" i="2"/>
  <c r="V13" i="2"/>
  <c r="AE13" i="2" s="1"/>
  <c r="AS13" i="2" s="1"/>
  <c r="U13" i="2"/>
  <c r="AQ12" i="2"/>
  <c r="AP12" i="2"/>
  <c r="AO12" i="2"/>
  <c r="AR12" i="2" s="1"/>
  <c r="V12" i="2"/>
  <c r="AE12" i="2" s="1"/>
  <c r="AS12" i="2" s="1"/>
  <c r="U12" i="2"/>
  <c r="AQ11" i="2"/>
  <c r="AP11" i="2"/>
  <c r="AR11" i="2"/>
  <c r="AO11" i="2"/>
  <c r="V11" i="2"/>
  <c r="AE11" i="2" s="1"/>
  <c r="U11" i="2"/>
  <c r="AQ10" i="2"/>
  <c r="AP10" i="2"/>
  <c r="AF10" i="2"/>
  <c r="AO10" i="2"/>
  <c r="Y10" i="2"/>
  <c r="Y21" i="2" s="1"/>
  <c r="U10" i="2"/>
  <c r="AQ9" i="2"/>
  <c r="AP9" i="2"/>
  <c r="AO9" i="2"/>
  <c r="AR9" i="2" s="1"/>
  <c r="V9" i="2"/>
  <c r="AE9" i="2" s="1"/>
  <c r="U9" i="2"/>
  <c r="AQ8" i="2"/>
  <c r="AP8" i="2"/>
  <c r="AP21" i="2" s="1"/>
  <c r="AO8" i="2"/>
  <c r="V8" i="2"/>
  <c r="AE8" i="2" s="1"/>
  <c r="U8" i="2"/>
  <c r="AQ7" i="2"/>
  <c r="AP7" i="2"/>
  <c r="AJ21" i="2"/>
  <c r="AE7" i="2"/>
  <c r="V7" i="2"/>
  <c r="U7" i="2"/>
  <c r="AQ6" i="2"/>
  <c r="AQ21" i="2" s="1"/>
  <c r="AP6" i="2"/>
  <c r="AK21" i="2"/>
  <c r="AA21" i="2"/>
  <c r="Z21" i="2"/>
  <c r="V6" i="2"/>
  <c r="V21" i="2" s="1"/>
  <c r="U6" i="2"/>
  <c r="J48" i="1"/>
  <c r="AR13" i="2"/>
  <c r="AO13" i="2"/>
  <c r="AE19" i="2"/>
  <c r="AF19" i="2"/>
  <c r="AX21" i="8" l="1"/>
  <c r="V15" i="8"/>
  <c r="V18" i="8"/>
  <c r="V17" i="8"/>
  <c r="V20" i="8"/>
  <c r="J69" i="1"/>
  <c r="L69" i="1" s="1"/>
  <c r="G18" i="5" s="1"/>
  <c r="L60" i="1"/>
  <c r="J61" i="1"/>
  <c r="L61" i="1" s="1"/>
  <c r="G10" i="5" s="1"/>
  <c r="J70" i="1"/>
  <c r="L70" i="1" s="1"/>
  <c r="G19" i="5" s="1"/>
  <c r="L48" i="1"/>
  <c r="G17" i="5"/>
  <c r="G20" i="5"/>
  <c r="G16" i="5"/>
  <c r="L62" i="1"/>
  <c r="G11" i="5" s="1"/>
  <c r="G9" i="5"/>
  <c r="G13" i="5"/>
  <c r="G7" i="5"/>
  <c r="U19" i="3"/>
  <c r="H21" i="5"/>
  <c r="H28" i="5" s="1"/>
  <c r="G6" i="5"/>
  <c r="AS18" i="2"/>
  <c r="AS16" i="2"/>
  <c r="G12" i="5"/>
  <c r="AR8" i="2"/>
  <c r="AS8" i="2" s="1"/>
  <c r="AR18" i="2"/>
  <c r="AS11" i="2"/>
  <c r="G15" i="5"/>
  <c r="AS9" i="2"/>
  <c r="AS17" i="2"/>
  <c r="AR19" i="2"/>
  <c r="AS19" i="2" s="1"/>
  <c r="AE10" i="2"/>
  <c r="AF21" i="2"/>
  <c r="AO7" i="2"/>
  <c r="AR7" i="2" s="1"/>
  <c r="AS7" i="2" s="1"/>
  <c r="AG10" i="2"/>
  <c r="AG21" i="2" s="1"/>
  <c r="G72" i="1"/>
  <c r="AH10" i="2"/>
  <c r="AH21" i="2" s="1"/>
  <c r="G14" i="5"/>
  <c r="AO6" i="2"/>
  <c r="AE6" i="2"/>
  <c r="K7" i="5" l="1"/>
  <c r="K20" i="5"/>
  <c r="K13" i="5"/>
  <c r="K14" i="5"/>
  <c r="K10" i="5"/>
  <c r="K16" i="5"/>
  <c r="K15" i="5"/>
  <c r="K11" i="5"/>
  <c r="K18" i="5"/>
  <c r="K12" i="5"/>
  <c r="J72" i="1"/>
  <c r="L72" i="1" s="1"/>
  <c r="G21" i="5"/>
  <c r="H27" i="5" s="1"/>
  <c r="J12" i="5" s="1"/>
  <c r="L12" i="5" s="1"/>
  <c r="AE21" i="2"/>
  <c r="AS6" i="2"/>
  <c r="K9" i="5"/>
  <c r="K8" i="5"/>
  <c r="K6" i="5"/>
  <c r="AO21" i="2"/>
  <c r="AR6" i="2"/>
  <c r="K17" i="5"/>
  <c r="AR10" i="2"/>
  <c r="AS10" i="2" s="1"/>
  <c r="K19" i="5"/>
  <c r="H5" i="4" l="1"/>
  <c r="H6" i="4" s="1"/>
  <c r="H8" i="4" s="1"/>
  <c r="J6" i="5"/>
  <c r="L6" i="5" s="1"/>
  <c r="J15" i="5"/>
  <c r="L15" i="5" s="1"/>
  <c r="K21" i="5"/>
  <c r="AS21" i="2"/>
  <c r="AR21" i="2"/>
  <c r="J19" i="5"/>
  <c r="L19" i="5" s="1"/>
  <c r="J10" i="5"/>
  <c r="L10" i="5" s="1"/>
  <c r="J18" i="5"/>
  <c r="L18" i="5" s="1"/>
  <c r="J9" i="5"/>
  <c r="L9" i="5" s="1"/>
  <c r="J8" i="5"/>
  <c r="L8" i="5" s="1"/>
  <c r="J20" i="5"/>
  <c r="L20" i="5" s="1"/>
  <c r="P20" i="5" s="1"/>
  <c r="J11" i="5"/>
  <c r="L11" i="5" s="1"/>
  <c r="J13" i="5"/>
  <c r="L13" i="5" s="1"/>
  <c r="J16" i="5"/>
  <c r="L16" i="5" s="1"/>
  <c r="J17" i="5"/>
  <c r="L17" i="5" s="1"/>
  <c r="J7" i="5"/>
  <c r="L7" i="5" s="1"/>
  <c r="J14" i="5"/>
  <c r="L14" i="5" s="1"/>
  <c r="O5" i="4" l="1"/>
  <c r="O6" i="4" s="1"/>
  <c r="O8" i="4" s="1"/>
  <c r="J5" i="4"/>
  <c r="J6" i="4" s="1"/>
  <c r="J8" i="4" s="1"/>
  <c r="M5" i="4"/>
  <c r="M6" i="4" s="1"/>
  <c r="M8" i="4" s="1"/>
  <c r="G5" i="4"/>
  <c r="G6" i="4" s="1"/>
  <c r="G8" i="4" s="1"/>
  <c r="I5" i="4"/>
  <c r="I6" i="4" s="1"/>
  <c r="I8" i="4" s="1"/>
  <c r="K5" i="4"/>
  <c r="K6" i="4" s="1"/>
  <c r="K8" i="4" s="1"/>
  <c r="F5" i="4"/>
  <c r="F6" i="4" s="1"/>
  <c r="F8" i="4" s="1"/>
  <c r="C5" i="4"/>
  <c r="C6" i="4" s="1"/>
  <c r="C8" i="4" s="1"/>
  <c r="L5" i="4"/>
  <c r="L6" i="4" s="1"/>
  <c r="L8" i="4" s="1"/>
  <c r="D5" i="4"/>
  <c r="D6" i="4" s="1"/>
  <c r="D8" i="4" s="1"/>
  <c r="B5" i="4"/>
  <c r="B6" i="4" s="1"/>
  <c r="B8" i="4" s="1"/>
  <c r="E5" i="4"/>
  <c r="E6" i="4" s="1"/>
  <c r="E8" i="4" s="1"/>
  <c r="N5" i="4"/>
  <c r="N6" i="4" s="1"/>
  <c r="N8" i="4" s="1"/>
  <c r="H11" i="4"/>
  <c r="H10" i="4"/>
  <c r="L21" i="5"/>
  <c r="J21" i="5"/>
  <c r="G10" i="4" l="1"/>
  <c r="G11" i="4"/>
  <c r="F10" i="4"/>
  <c r="F11" i="4"/>
  <c r="M11" i="4"/>
  <c r="M10" i="4"/>
  <c r="H12" i="4"/>
  <c r="H13" i="4"/>
  <c r="I11" i="4"/>
  <c r="I10" i="4"/>
  <c r="C10" i="4"/>
  <c r="C11" i="4"/>
  <c r="B10" i="4"/>
  <c r="B11" i="4"/>
  <c r="N11" i="4"/>
  <c r="N10" i="4"/>
  <c r="J11" i="4"/>
  <c r="J10" i="4"/>
  <c r="K11" i="4"/>
  <c r="K10" i="4"/>
  <c r="E10" i="4"/>
  <c r="E11" i="4"/>
  <c r="O10" i="4"/>
  <c r="O11" i="4"/>
  <c r="D10" i="4"/>
  <c r="D11" i="4"/>
  <c r="L10" i="4"/>
  <c r="L11" i="4"/>
  <c r="N13" i="4" l="1"/>
  <c r="N12" i="4"/>
  <c r="B12" i="4"/>
  <c r="B13" i="4"/>
  <c r="M13" i="4"/>
  <c r="M12" i="4"/>
  <c r="L13" i="4"/>
  <c r="L12" i="4"/>
  <c r="D12" i="4"/>
  <c r="D13" i="4"/>
  <c r="I13" i="4"/>
  <c r="I12" i="4"/>
  <c r="O12" i="4"/>
  <c r="O13" i="4"/>
  <c r="F13" i="4"/>
  <c r="F12" i="4"/>
  <c r="K13" i="4"/>
  <c r="K12" i="4"/>
  <c r="C13" i="4"/>
  <c r="C12" i="4"/>
  <c r="G13" i="4"/>
  <c r="G12" i="4"/>
  <c r="E12" i="4"/>
  <c r="E13" i="4"/>
  <c r="J12" i="4"/>
  <c r="J13" i="4"/>
  <c r="H15" i="4"/>
  <c r="H14" i="4"/>
  <c r="M15" i="4" l="1"/>
  <c r="M14" i="4"/>
  <c r="G14" i="4"/>
  <c r="G15" i="4"/>
  <c r="C15" i="4"/>
  <c r="C14" i="4"/>
  <c r="L14" i="4"/>
  <c r="L15" i="4"/>
  <c r="K15" i="4"/>
  <c r="K14" i="4"/>
  <c r="H17" i="4"/>
  <c r="H18" i="4" s="1"/>
  <c r="H16" i="4"/>
  <c r="J15" i="4"/>
  <c r="J14" i="4"/>
  <c r="B14" i="4"/>
  <c r="B15" i="4"/>
  <c r="F14" i="4"/>
  <c r="F15" i="4"/>
  <c r="O14" i="4"/>
  <c r="O15" i="4"/>
  <c r="I15" i="4"/>
  <c r="I14" i="4"/>
  <c r="E15" i="4"/>
  <c r="E14" i="4"/>
  <c r="D15" i="4"/>
  <c r="D14" i="4"/>
  <c r="N15" i="4"/>
  <c r="N14" i="4"/>
  <c r="B17" i="4" l="1"/>
  <c r="B18" i="4" s="1"/>
  <c r="B16" i="4"/>
  <c r="B23" i="4" s="1"/>
  <c r="G16" i="4"/>
  <c r="G17" i="4"/>
  <c r="G18" i="4" s="1"/>
  <c r="G23" i="4"/>
  <c r="J16" i="4"/>
  <c r="J17" i="4"/>
  <c r="J18" i="4" s="1"/>
  <c r="D16" i="4"/>
  <c r="D17" i="4"/>
  <c r="D18" i="4" s="1"/>
  <c r="L17" i="4"/>
  <c r="L18" i="4" s="1"/>
  <c r="L16" i="4"/>
  <c r="L23" i="4" s="1"/>
  <c r="C17" i="4"/>
  <c r="C18" i="4" s="1"/>
  <c r="C16" i="4"/>
  <c r="C23" i="4" s="1"/>
  <c r="L19" i="4"/>
  <c r="L21" i="4" s="1"/>
  <c r="H23" i="4"/>
  <c r="H19" i="4"/>
  <c r="H21" i="4" s="1"/>
  <c r="I16" i="4"/>
  <c r="I17" i="4"/>
  <c r="I18" i="4" s="1"/>
  <c r="I19" i="4" s="1"/>
  <c r="I21" i="4" s="1"/>
  <c r="K17" i="4"/>
  <c r="K18" i="4" s="1"/>
  <c r="K16" i="4"/>
  <c r="O17" i="4"/>
  <c r="O18" i="4" s="1"/>
  <c r="O16" i="4"/>
  <c r="O23" i="4" s="1"/>
  <c r="F17" i="4"/>
  <c r="F18" i="4" s="1"/>
  <c r="F16" i="4"/>
  <c r="N16" i="4"/>
  <c r="N23" i="4" s="1"/>
  <c r="N17" i="4"/>
  <c r="N18" i="4" s="1"/>
  <c r="M17" i="4"/>
  <c r="M18" i="4" s="1"/>
  <c r="M16" i="4"/>
  <c r="E17" i="4"/>
  <c r="E18" i="4" s="1"/>
  <c r="E16" i="4"/>
  <c r="E23" i="4" s="1"/>
  <c r="I23" i="4"/>
  <c r="K19" i="4" l="1"/>
  <c r="K21" i="4" s="1"/>
  <c r="D23" i="4"/>
  <c r="D26" i="4" s="1"/>
  <c r="K23" i="4"/>
  <c r="F19" i="4"/>
  <c r="F21" i="4" s="1"/>
  <c r="G19" i="4"/>
  <c r="G21" i="4" s="1"/>
  <c r="E19" i="4"/>
  <c r="E21" i="4" s="1"/>
  <c r="N19" i="4"/>
  <c r="N21" i="4" s="1"/>
  <c r="R16" i="5"/>
  <c r="M16" i="5" s="1"/>
  <c r="P16" i="5" s="1"/>
  <c r="L26" i="4"/>
  <c r="R15" i="5"/>
  <c r="M15" i="5" s="1"/>
  <c r="P15" i="5" s="1"/>
  <c r="K26" i="4"/>
  <c r="R19" i="5"/>
  <c r="M19" i="5" s="1"/>
  <c r="P19" i="5" s="1"/>
  <c r="O26" i="4"/>
  <c r="R13" i="5"/>
  <c r="M13" i="5" s="1"/>
  <c r="P13" i="5" s="1"/>
  <c r="I26" i="4"/>
  <c r="R8" i="5"/>
  <c r="M8" i="5" s="1"/>
  <c r="P8" i="5" s="1"/>
  <c r="R6" i="5"/>
  <c r="M6" i="5" s="1"/>
  <c r="B26" i="4"/>
  <c r="J19" i="4"/>
  <c r="J21" i="4" s="1"/>
  <c r="J23" i="4"/>
  <c r="R9" i="5"/>
  <c r="M9" i="5" s="1"/>
  <c r="P9" i="5" s="1"/>
  <c r="E26" i="4"/>
  <c r="D19" i="4"/>
  <c r="D21" i="4" s="1"/>
  <c r="R11" i="5"/>
  <c r="G26" i="4"/>
  <c r="M19" i="4"/>
  <c r="M21" i="4" s="1"/>
  <c r="M23" i="4"/>
  <c r="R12" i="5"/>
  <c r="M12" i="5" s="1"/>
  <c r="P12" i="5" s="1"/>
  <c r="H26" i="4"/>
  <c r="O19" i="4"/>
  <c r="O21" i="4" s="1"/>
  <c r="R18" i="5"/>
  <c r="M18" i="5" s="1"/>
  <c r="P18" i="5" s="1"/>
  <c r="N26" i="4"/>
  <c r="B19" i="4"/>
  <c r="B21" i="4" s="1"/>
  <c r="R7" i="5"/>
  <c r="M7" i="5" s="1"/>
  <c r="C26" i="4"/>
  <c r="C19" i="4"/>
  <c r="C21" i="4" s="1"/>
  <c r="F23" i="4"/>
  <c r="R14" i="5" l="1"/>
  <c r="M14" i="5" s="1"/>
  <c r="P14" i="5" s="1"/>
  <c r="J26" i="4"/>
  <c r="R17" i="5"/>
  <c r="M17" i="5" s="1"/>
  <c r="P17" i="5" s="1"/>
  <c r="M26" i="4"/>
  <c r="P7" i="5"/>
  <c r="P6" i="5"/>
  <c r="R10" i="5"/>
  <c r="M10" i="5" s="1"/>
  <c r="P10" i="5" s="1"/>
  <c r="F26" i="4"/>
  <c r="M11" i="5"/>
  <c r="P11" i="5" s="1"/>
  <c r="M21" i="5" l="1"/>
  <c r="P21" i="5" s="1"/>
</calcChain>
</file>

<file path=xl/sharedStrings.xml><?xml version="1.0" encoding="utf-8"?>
<sst xmlns="http://schemas.openxmlformats.org/spreadsheetml/2006/main" count="3840" uniqueCount="311">
  <si>
    <t>R07: Trabajadores - Motivos de suspensión de labores</t>
  </si>
  <si>
    <t>11/03/2026</t>
  </si>
  <si>
    <t>RUC : 20258342241</t>
  </si>
  <si>
    <t>Empleador : GERENCIA DE RIESGOS ASESORES Y CORREDORES DE SEGUROS S.R.L.</t>
  </si>
  <si>
    <t>Periodo : 01/2025</t>
  </si>
  <si>
    <t>PDT Planilla Electrónica - PLAME            Número de Orden :</t>
  </si>
  <si>
    <t>Datos del Trabajador</t>
  </si>
  <si>
    <t>Motivos de Suspensión de Labores</t>
  </si>
  <si>
    <t>Documento de Identidad</t>
  </si>
  <si>
    <t>Apellido Paterno</t>
  </si>
  <si>
    <t>Apellido Materno</t>
  </si>
  <si>
    <t>Nombres</t>
  </si>
  <si>
    <t>Código</t>
  </si>
  <si>
    <t>Descripción</t>
  </si>
  <si>
    <t>Num. Días</t>
  </si>
  <si>
    <t>Tipo</t>
  </si>
  <si>
    <t>Número</t>
  </si>
  <si>
    <t>01</t>
  </si>
  <si>
    <t>09859427</t>
  </si>
  <si>
    <t>KUANG</t>
  </si>
  <si>
    <t>LINARES</t>
  </si>
  <si>
    <t>MARIA ROSARIO</t>
  </si>
  <si>
    <t>23</t>
  </si>
  <si>
    <t>S.I. DESCANSO VACACIONAL</t>
  </si>
  <si>
    <t>40243954</t>
  </si>
  <si>
    <t>CHUSING</t>
  </si>
  <si>
    <t>HECTOR ENRIQUE</t>
  </si>
  <si>
    <t>42263949</t>
  </si>
  <si>
    <t>HERRERA</t>
  </si>
  <si>
    <t>ANDAMAYO</t>
  </si>
  <si>
    <t>NAHALA DOROTHY</t>
  </si>
  <si>
    <t>20</t>
  </si>
  <si>
    <t>S.I. ENFERM/ACCIDENTE (20 PRIMEROS DÍAS)</t>
  </si>
  <si>
    <t>10798282</t>
  </si>
  <si>
    <t>NANCY AIDA</t>
  </si>
  <si>
    <t>41320534</t>
  </si>
  <si>
    <t>LEZAMA</t>
  </si>
  <si>
    <t>ULLOA</t>
  </si>
  <si>
    <t>CESAR ENRIQUE</t>
  </si>
  <si>
    <t>43658082</t>
  </si>
  <si>
    <t>TENORIO</t>
  </si>
  <si>
    <t>FERNANDEZ</t>
  </si>
  <si>
    <t>JOSE VICTOR</t>
  </si>
  <si>
    <t>44262618</t>
  </si>
  <si>
    <t>NIQUEN</t>
  </si>
  <si>
    <t>PUMA</t>
  </si>
  <si>
    <t>MARIELLA ISABEL</t>
  </si>
  <si>
    <t>41194847</t>
  </si>
  <si>
    <t>DURAND</t>
  </si>
  <si>
    <t>GARCIA</t>
  </si>
  <si>
    <t>ERICKA RAQUEL</t>
  </si>
  <si>
    <t>46345862</t>
  </si>
  <si>
    <t>CATAÑO</t>
  </si>
  <si>
    <t>OYANGUREN</t>
  </si>
  <si>
    <t>GIANCARLO</t>
  </si>
  <si>
    <t>40640169</t>
  </si>
  <si>
    <t>OLIVARES</t>
  </si>
  <si>
    <t>LILY</t>
  </si>
  <si>
    <t>41202202</t>
  </si>
  <si>
    <t>ZAVALETA</t>
  </si>
  <si>
    <t>GIOVANNA HERMELINDA</t>
  </si>
  <si>
    <t>72196931</t>
  </si>
  <si>
    <t>CONDORI</t>
  </si>
  <si>
    <t>LOPEZ</t>
  </si>
  <si>
    <t>ANDREA DEL PILAR</t>
  </si>
  <si>
    <t>46419969</t>
  </si>
  <si>
    <t>ORELLANA</t>
  </si>
  <si>
    <t>CORI</t>
  </si>
  <si>
    <t>73093059</t>
  </si>
  <si>
    <t>VEGA</t>
  </si>
  <si>
    <t>FARRO</t>
  </si>
  <si>
    <t>JOSE RICARDO</t>
  </si>
  <si>
    <t>46098021</t>
  </si>
  <si>
    <t>GERONIMO</t>
  </si>
  <si>
    <t>MARYELIZA SANTA</t>
  </si>
  <si>
    <t>Periodo : 01/2025 a 12/2025</t>
  </si>
  <si>
    <t>FERIADOS</t>
  </si>
  <si>
    <t>CATAÑO OYANGUREN GIANCARLO</t>
  </si>
  <si>
    <t>CONDORI LOPEZ ANDREA DEL PILAR</t>
  </si>
  <si>
    <t>DURAND GARCIA ERICKA RAQUEL</t>
  </si>
  <si>
    <t>GARCIA ZAVALETA GIOVANNA HERMELINDA</t>
  </si>
  <si>
    <t>HERRERA ANDAMAYO NAHALA DOROTHY</t>
  </si>
  <si>
    <t>HERRERA GERONIMO MARYELIZA SANTA</t>
  </si>
  <si>
    <t>KUANG CHUSING HECTOR ENRIQUE</t>
  </si>
  <si>
    <t>KUANG CHUSING NANCY AIDA</t>
  </si>
  <si>
    <t>KUANG LINARES MARIA ROSARIO</t>
  </si>
  <si>
    <t>LEZAMA ULLOA CESAR ENRIQUE</t>
  </si>
  <si>
    <t>NIQUEN PUMA MARIELLA ISABEL</t>
  </si>
  <si>
    <t>OLIVARES HERRERA LILY</t>
  </si>
  <si>
    <t>ORELLANA CORI CESAR ENRIQUE</t>
  </si>
  <si>
    <t>TENORIO FERNANDEZ JOSE VICTOR</t>
  </si>
  <si>
    <t>VEGA FARRO JOSE RICARDO</t>
  </si>
  <si>
    <t>INICIO</t>
  </si>
  <si>
    <t>NOMBRE</t>
  </si>
  <si>
    <t>DNI</t>
  </si>
  <si>
    <t>CESE</t>
  </si>
  <si>
    <t>DIAS ENE-DIC</t>
  </si>
  <si>
    <t>DIAS NO LAB.</t>
  </si>
  <si>
    <t>DIAS AFECTOS</t>
  </si>
  <si>
    <t>A UTILIDADES 2025</t>
  </si>
  <si>
    <t>RUC</t>
  </si>
  <si>
    <t>PLANILLA 2Q GERENCIA DE RIESGOS  12.2025</t>
  </si>
  <si>
    <t>Codigo de Personal</t>
  </si>
  <si>
    <t xml:space="preserve"> Nombre del Trabajador</t>
  </si>
  <si>
    <t>F. Ingreso</t>
  </si>
  <si>
    <t>F. Cese</t>
  </si>
  <si>
    <t>Cod. C. Costo</t>
  </si>
  <si>
    <t>Des. C. Costo</t>
  </si>
  <si>
    <t>Area</t>
  </si>
  <si>
    <t>Banco Cargo Empresa</t>
  </si>
  <si>
    <t>Banco Trabajador</t>
  </si>
  <si>
    <t>Nro. Cuenta Bancaria</t>
  </si>
  <si>
    <t>Tipo de Quinta</t>
  </si>
  <si>
    <t>Categoría</t>
  </si>
  <si>
    <t>Cargo</t>
  </si>
  <si>
    <t>Tipo Pension</t>
  </si>
  <si>
    <t>Com. Mixta</t>
  </si>
  <si>
    <t>Sueldo</t>
  </si>
  <si>
    <t>Dias</t>
  </si>
  <si>
    <t>DIAS:1023 - D.MEDICO</t>
  </si>
  <si>
    <t>DIAS:5013 - VAC.NORMAL</t>
  </si>
  <si>
    <t>Horas</t>
  </si>
  <si>
    <t>1001 - S. BASICO</t>
  </si>
  <si>
    <t xml:space="preserve">1003 - R. VACACI </t>
  </si>
  <si>
    <t>1012 - ASIG. FAMI</t>
  </si>
  <si>
    <t>1023 - D.MEDICO</t>
  </si>
  <si>
    <t>GRATIFICACION</t>
  </si>
  <si>
    <t>BONIF EXTRA</t>
  </si>
  <si>
    <t>ASIGNACION POR FESTIVIDAD</t>
  </si>
  <si>
    <t>BONO ANUAL</t>
  </si>
  <si>
    <t>DEVOLUCION 5TA</t>
  </si>
  <si>
    <t xml:space="preserve">TOTAL INGRESOS </t>
  </si>
  <si>
    <t>2001 -  AFP FONDO</t>
  </si>
  <si>
    <t>2002 -  AFP COMIS</t>
  </si>
  <si>
    <t>2003 -  AFP SEGUR</t>
  </si>
  <si>
    <t>2004 -  ONP</t>
  </si>
  <si>
    <t>2005 - 5TA.CATEGO</t>
  </si>
  <si>
    <t>2009 - EPS TRABA.</t>
  </si>
  <si>
    <t>2021 - ADEL.QUINC</t>
  </si>
  <si>
    <t>2022 - ADEL.VACAC</t>
  </si>
  <si>
    <t>ADELANTO</t>
  </si>
  <si>
    <t>ADELANTO DE GRATIFICACIÓN</t>
  </si>
  <si>
    <t>ADELANTO DE ASIGNACION</t>
  </si>
  <si>
    <t>ADELANTO DE BONO</t>
  </si>
  <si>
    <t xml:space="preserve">TOTAL DESCUENTOS </t>
  </si>
  <si>
    <t xml:space="preserve">NETO A PAGAR </t>
  </si>
  <si>
    <t>3001 - ESSALUD</t>
  </si>
  <si>
    <t>3006 - CRED. EPS</t>
  </si>
  <si>
    <t xml:space="preserve">TOTAL APORTES </t>
  </si>
  <si>
    <t>000011</t>
  </si>
  <si>
    <t>0000001</t>
  </si>
  <si>
    <t>GENERAL</t>
  </si>
  <si>
    <t>BBVA BANCO CONTINENTAL</t>
  </si>
  <si>
    <t>001100570220702643  </t>
  </si>
  <si>
    <t>DOMICILIADO</t>
  </si>
  <si>
    <t>EMPLEADOS</t>
  </si>
  <si>
    <t>EJECUTIVO DE NEGOCIOS</t>
  </si>
  <si>
    <t>PROFUTURO</t>
  </si>
  <si>
    <t>NO</t>
  </si>
  <si>
    <t>000013</t>
  </si>
  <si>
    <t>001100570220871860  </t>
  </si>
  <si>
    <t>EJECUTIVO DE NEGOCIOS SENIOR</t>
  </si>
  <si>
    <t>PRIMA</t>
  </si>
  <si>
    <t>000005</t>
  </si>
  <si>
    <t>001101820200286368  </t>
  </si>
  <si>
    <t>JEFE DE RENOVACIONES</t>
  </si>
  <si>
    <t>INTEGRA</t>
  </si>
  <si>
    <t>000006</t>
  </si>
  <si>
    <t>BANCO INTERNACIONAL DEL PERU-INTERBANK</t>
  </si>
  <si>
    <t>00304101310937054912</t>
  </si>
  <si>
    <t>JEFE DE OPERACIONES</t>
  </si>
  <si>
    <t>000004</t>
  </si>
  <si>
    <t>001101820200243774  </t>
  </si>
  <si>
    <t>JEFE DE VENTAS</t>
  </si>
  <si>
    <t>000014</t>
  </si>
  <si>
    <t>00110057750228218627</t>
  </si>
  <si>
    <t>HABITAT</t>
  </si>
  <si>
    <t>SI</t>
  </si>
  <si>
    <t>000002</t>
  </si>
  <si>
    <t>001101820200153627  </t>
  </si>
  <si>
    <t>DIRECTOR DE NEGOCIOS Y MARKETING</t>
  </si>
  <si>
    <t>000012</t>
  </si>
  <si>
    <t>001100570220854001  </t>
  </si>
  <si>
    <t>GERENTE DE MARKETING</t>
  </si>
  <si>
    <t>000001</t>
  </si>
  <si>
    <t>001100570212532526  </t>
  </si>
  <si>
    <t>ADMINISTRADOR GENERAL CONTABLE</t>
  </si>
  <si>
    <t>000008</t>
  </si>
  <si>
    <t>001101820200162561</t>
  </si>
  <si>
    <t>000007</t>
  </si>
  <si>
    <t>001100570207809269</t>
  </si>
  <si>
    <t>000003</t>
  </si>
  <si>
    <t>001101820200153635  </t>
  </si>
  <si>
    <t>000009</t>
  </si>
  <si>
    <t>001100570215743188  </t>
  </si>
  <si>
    <t>ONP</t>
  </si>
  <si>
    <t>000010</t>
  </si>
  <si>
    <t>001100570219866314  </t>
  </si>
  <si>
    <t>JEFE DE RIESGOS PATRIMONIALES HUMANOS Y LABORALES</t>
  </si>
  <si>
    <t>000015</t>
  </si>
  <si>
    <t>00110579030211118325</t>
  </si>
  <si>
    <t>Sit.</t>
  </si>
  <si>
    <t>ACTIVO O SUBSIDIADO</t>
  </si>
  <si>
    <t>FECHA DE INICIO</t>
  </si>
  <si>
    <t>FECHA DE CESE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</si>
  <si>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</si>
  <si>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</si>
  <si>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</si>
  <si>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</si>
  <si>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</si>
  <si>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</si>
  <si>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</si>
  <si>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</si>
  <si>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</si>
  <si>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</si>
  <si>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</si>
  <si>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</si>
  <si>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FECHA DE INGRESO</t>
  </si>
  <si>
    <t>Nº dias Efectivos Laborados</t>
  </si>
  <si>
    <t>Total de Remuneraciones</t>
  </si>
  <si>
    <t>total</t>
  </si>
  <si>
    <t>CARGO</t>
  </si>
  <si>
    <t>Renta anual de la empresa antes de impuestos :</t>
  </si>
  <si>
    <t>Porcentaje a distribuir :</t>
  </si>
  <si>
    <t>Monto a distribuir :</t>
  </si>
  <si>
    <t>Factor Dias trabajados :</t>
  </si>
  <si>
    <t>Factor Total Remuneraciones :</t>
  </si>
  <si>
    <t>EN FUNCION A DIAS</t>
  </si>
  <si>
    <t>EN FUNCION A REMUNERACIONES</t>
  </si>
  <si>
    <t>TOTAL DE UTILIDADES</t>
  </si>
  <si>
    <t>IR 5ta CATEGORIA</t>
  </si>
  <si>
    <t>RETENCION JUDICIAL</t>
  </si>
  <si>
    <t>UTILIDADES NETAS</t>
  </si>
  <si>
    <t>TRAMO PROYECTADO</t>
  </si>
  <si>
    <t>ACTIVO</t>
  </si>
  <si>
    <t>ENERO-DIC</t>
  </si>
  <si>
    <t>DEDUCCIÓN DE 7 UIT'S</t>
  </si>
  <si>
    <t>BASE IMPONIBLE</t>
  </si>
  <si>
    <t>DE 0 A 5 UIT'S  (8%)</t>
  </si>
  <si>
    <t>BLANCO 1</t>
  </si>
  <si>
    <t>DE 5 A 20 UIT'S  (14%)</t>
  </si>
  <si>
    <t>BLANCO 2</t>
  </si>
  <si>
    <t>DE 20 A 35 UIT'S (17%)</t>
  </si>
  <si>
    <t>BLANCO 3</t>
  </si>
  <si>
    <t>DE 35 A 45 UIT'S (20%)</t>
  </si>
  <si>
    <t>BLANCO 4</t>
  </si>
  <si>
    <t>MÁS DE 45 UIT´S (30%)</t>
  </si>
  <si>
    <t>RETENCION</t>
  </si>
  <si>
    <t>R02: Trabajadores - Detalle de Ingresos</t>
  </si>
  <si>
    <t>17:10:5</t>
  </si>
  <si>
    <t>Detalle de los ingresos</t>
  </si>
  <si>
    <t>TOTAL INGRESOS</t>
  </si>
  <si>
    <t>Ingresos</t>
  </si>
  <si>
    <t>Asignaciones</t>
  </si>
  <si>
    <t>Bonificaciones</t>
  </si>
  <si>
    <t>Gratificaciones-Aguinaldos</t>
  </si>
  <si>
    <t>Conceptos Varios</t>
  </si>
  <si>
    <t>Otros Conceptos</t>
  </si>
  <si>
    <t>Reg. Laboral Público</t>
  </si>
  <si>
    <t>Devengado</t>
  </si>
  <si>
    <t>Pagado</t>
  </si>
  <si>
    <t/>
  </si>
  <si>
    <t>46386515</t>
  </si>
  <si>
    <t>BRAVO</t>
  </si>
  <si>
    <t>VASQUEZ</t>
  </si>
  <si>
    <t>ROSALIA</t>
  </si>
  <si>
    <t>SIN VÍNCULO LABORAL</t>
  </si>
  <si>
    <t>comp vacac.</t>
  </si>
  <si>
    <t>BAJA</t>
  </si>
  <si>
    <t>TOTAL</t>
  </si>
  <si>
    <t>UTILIDADES</t>
  </si>
  <si>
    <t>UTILIDADES GERENCIA DE RIESGOS 2025</t>
  </si>
  <si>
    <t>TOTAL DE DIAS LABORALBLES 2025</t>
  </si>
  <si>
    <t>TOTAL DE DIAS NO LABORADOS 2025</t>
  </si>
  <si>
    <t>TOTAL DE DIAS EFECTIVOS 2025 PARA UTILIDADES</t>
  </si>
  <si>
    <t>F. INICIO</t>
  </si>
  <si>
    <t>F. FIN</t>
  </si>
  <si>
    <t>APELLIDOS Y NOMBRES</t>
  </si>
  <si>
    <t xml:space="preserve">RUC :  20258342241 </t>
  </si>
  <si>
    <t>DNI  :</t>
  </si>
  <si>
    <t>GERENCIA DE RIESGOS ASESORES Y CORREDORES DE SEGUROS S.R.L.</t>
  </si>
  <si>
    <t>Lima,</t>
  </si>
  <si>
    <t xml:space="preserve">       TOTAL DE LA PARTICIPACION NETA DEL TRABAJADOR EN LAS UTILIDADES</t>
  </si>
  <si>
    <t xml:space="preserve"> - Descuento de Renta de  Quinta Categoria :</t>
  </si>
  <si>
    <t xml:space="preserve"> - Total de la participación del trabajador en las utilidades :</t>
  </si>
  <si>
    <t xml:space="preserve"> - Participación según las remuneraciones percibidas :</t>
  </si>
  <si>
    <t xml:space="preserve"> - Participación según los días laborados :</t>
  </si>
  <si>
    <t>3. MONTO DE LA PARTICIPACIÓN A PERCIBIR POR EL TRABAJADOR</t>
  </si>
  <si>
    <t xml:space="preserve">      - Participación del trabajador según las remuneraciones percibidas :</t>
  </si>
  <si>
    <t xml:space="preserve">        trabajadores de la empresa :</t>
  </si>
  <si>
    <t xml:space="preserve"> 2.2. SEGÚN LAS REMUNERACION PERCIBIDAS</t>
  </si>
  <si>
    <t xml:space="preserve">      - Participación del trabajador según los días laborados :</t>
  </si>
  <si>
    <t xml:space="preserve">        de la empresa con derecho a percibir utilidades :</t>
  </si>
  <si>
    <t xml:space="preserve"> 2.1. SEGÚN LOS DÍAS LABORADOS</t>
  </si>
  <si>
    <t>2. CALCULO DE LA PARTICIPACION</t>
  </si>
  <si>
    <t xml:space="preserve"> - Monto a distribuir :</t>
  </si>
  <si>
    <t xml:space="preserve"> - Porcentaje a distribuir :</t>
  </si>
  <si>
    <t xml:space="preserve"> - Renta anual de la empresa antes de impuestos :</t>
  </si>
  <si>
    <t>1. UTILIDAD POR DISTRIBUIR</t>
  </si>
  <si>
    <t>BRAVO VASQUEZ ROSALÍA</t>
  </si>
  <si>
    <t>MENDOZA DEL AGUILA CAROLINA DEL ROSARIO</t>
  </si>
  <si>
    <t>,</t>
  </si>
  <si>
    <t>identificado(a) con DNI / C.E.</t>
  </si>
  <si>
    <t>Sr.(a)</t>
  </si>
  <si>
    <r>
      <rPr>
        <b/>
        <sz val="15"/>
        <rFont val="Calibri"/>
        <family val="2"/>
      </rPr>
      <t>GERENCIA DE RIESGOS ASESORES Y CORREDORES DE SEGUROS S.R.L</t>
    </r>
    <r>
      <rPr>
        <sz val="15"/>
        <rFont val="Calibri"/>
        <family val="2"/>
      </rPr>
      <t xml:space="preserve">., con </t>
    </r>
    <r>
      <rPr>
        <b/>
        <sz val="15"/>
        <rFont val="Calibri"/>
        <family val="2"/>
      </rPr>
      <t>RUC Nº 20258342241</t>
    </r>
    <r>
      <rPr>
        <sz val="15"/>
        <rFont val="Calibri"/>
        <family val="2"/>
      </rPr>
      <t xml:space="preserve"> domiciliado en Calle La Casuarina Nro. 291 Urb. Los Sauces, Distrito de Surquillo, Provincia y Departamento de Lima, debidamente representada por HECTOR ENRIQUE KUANG CHUSING con DNI 40243954, en su calidad de empleador y en cumplimiento, deja constancia de la determinación, distribución y pago de la participación en las utilidades voluntarias al :</t>
    </r>
  </si>
  <si>
    <t>PARTICIPACION EN LAS UTILIDADES VOLUNTARIAS POR EL EJERCICIO GRAVABLE 2025</t>
  </si>
  <si>
    <t>correspondiente al ejercicio gravable 2025, calculado en base al siguiente detalle:</t>
  </si>
  <si>
    <t xml:space="preserve">      - Número total de días laborados durante el ejercicio 2025  por todos los trabajadores</t>
  </si>
  <si>
    <t xml:space="preserve">      - Número de días laborados durante el ejercicio  2025  por el trabajador :</t>
  </si>
  <si>
    <t xml:space="preserve">      - Remuneración computable total pagada durante el ejercicio 2025 a todos los</t>
  </si>
  <si>
    <t xml:space="preserve">      - Remuneración computable percibida durante el ejercicio 2025 por el trabajador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</si>
</sst>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00"/>
    <numFmt numFmtId="165" formatCode="0.000000"/>
    <numFmt numFmtId="166" formatCode="0.0000000"/>
    <numFmt numFmtId="167" formatCode="_ * #,##0.00_ ;_ * \-#,##0.00_ ;_ * &quot;-&quot;??_ ;_ @_ "/>
    <numFmt numFmtId="168" formatCode="_(* #,##0.00_);_(* \(#,##0.00\);_(* &quot;-&quot;??_);_(@_)"/>
    <numFmt numFmtId="169" formatCode="00000000"/>
    <numFmt numFmtId="170" formatCode="[$-C0A]d\ &quot;de&quot;\ mmmm\ &quot;de&quot;\ yyyy;@"/>
    <numFmt numFmtId="171" formatCode="[$S/.-280A]\ #,##0.00"/>
  </numFmts>
  <fonts count="54" x14ac:knownFonts="1">
    <font>
      <sz val="11"/>
      <color theme="1"/>
      <name val="Aptos Narrow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sz val="10"/>
      <name val="Arial"/>
      <family val="2"/>
    </font>
    <font>
      <sz val="8"/>
      <name val="Aptos Narrow"/>
      <family val="2"/>
    </font>
    <font>
      <b/>
      <sz val="9"/>
      <color indexed="9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rgb="FFFF0000"/>
      <name val="Calibri"/>
      <family val="2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Calibri"/>
      <family val="2"/>
    </font>
    <font>
      <sz val="14"/>
      <name val="Calibri"/>
      <family val="2"/>
    </font>
    <font>
      <sz val="15"/>
      <name val="Calibri"/>
      <family val="2"/>
    </font>
    <font>
      <b/>
      <sz val="14"/>
      <name val="Calibri"/>
      <family val="2"/>
    </font>
    <font>
      <b/>
      <sz val="15"/>
      <name val="Calibri"/>
      <family val="2"/>
    </font>
    <font>
      <sz val="14"/>
      <color rgb="FFFF0000"/>
      <name val="Calibri"/>
      <family val="2"/>
    </font>
    <font>
      <sz val="16"/>
      <name val="Calibri"/>
      <family val="2"/>
    </font>
    <font>
      <b/>
      <sz val="17"/>
      <name val="Calibri"/>
      <family val="2"/>
    </font>
    <font>
      <u/>
      <sz val="14"/>
      <name val="Calibri"/>
      <family val="2"/>
    </font>
    <font>
      <b/>
      <sz val="16"/>
      <color indexed="9"/>
      <name val="Calibri"/>
      <family val="2"/>
    </font>
    <font>
      <b/>
      <u/>
      <sz val="20"/>
      <name val="Calibri"/>
      <family val="2"/>
    </font>
    <font>
      <b/>
      <sz val="13"/>
      <name val="Berlin Sans FB Demi"/>
      <family val="2"/>
    </font>
    <font>
      <b/>
      <sz val="13"/>
      <color theme="0"/>
      <name val="Berlin Sans FB Demi"/>
      <family val="2"/>
    </font>
    <font>
      <sz val="18"/>
      <color rgb="FFFF0000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62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dashed">
        <color indexed="64"/>
      </bottom>
      <diagonal/>
    </border>
    <border>
      <left/>
      <right/>
      <top style="thin">
        <color indexed="9"/>
      </top>
      <bottom style="dashed">
        <color indexed="64"/>
      </bottom>
      <diagonal/>
    </border>
  </borders>
  <cellStyleXfs count="53">
    <xf numFmtId="0" fontId="0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34" borderId="0" applyNumberFormat="0" applyBorder="0" applyAlignment="0" applyProtection="0"/>
    <xf numFmtId="0" fontId="20" fillId="4" borderId="0" applyNumberFormat="0" applyBorder="0" applyAlignment="0" applyProtection="0"/>
    <xf numFmtId="0" fontId="25" fillId="8" borderId="36" applyNumberFormat="0" applyAlignment="0" applyProtection="0"/>
    <xf numFmtId="0" fontId="27" fillId="9" borderId="39" applyNumberFormat="0" applyAlignment="0" applyProtection="0"/>
    <xf numFmtId="0" fontId="26" fillId="0" borderId="38" applyNumberFormat="0" applyFill="0" applyAlignment="0" applyProtection="0"/>
    <xf numFmtId="0" fontId="17" fillId="0" borderId="33" applyNumberFormat="0" applyFill="0" applyAlignment="0" applyProtection="0"/>
    <xf numFmtId="0" fontId="19" fillId="0" borderId="0" applyNumberFormat="0" applyFill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23" fillId="7" borderId="36" applyNumberFormat="0" applyAlignment="0" applyProtection="0"/>
    <xf numFmtId="0" fontId="21" fillId="5" borderId="0" applyNumberFormat="0" applyBorder="0" applyAlignment="0" applyProtection="0"/>
    <xf numFmtId="43" fontId="15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2" fillId="6" borderId="0" applyNumberFormat="0" applyBorder="0" applyAlignment="0" applyProtection="0"/>
    <xf numFmtId="0" fontId="4" fillId="0" borderId="0"/>
    <xf numFmtId="0" fontId="15" fillId="0" borderId="0"/>
    <xf numFmtId="0" fontId="8" fillId="0" borderId="0"/>
    <xf numFmtId="0" fontId="15" fillId="10" borderId="40" applyNumberFormat="0" applyFont="0" applyAlignment="0" applyProtection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8" borderId="37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34" applyNumberFormat="0" applyFill="0" applyAlignment="0" applyProtection="0"/>
    <xf numFmtId="0" fontId="19" fillId="0" borderId="35" applyNumberFormat="0" applyFill="0" applyAlignment="0" applyProtection="0"/>
    <xf numFmtId="0" fontId="30" fillId="0" borderId="41" applyNumberFormat="0" applyFill="0" applyAlignment="0" applyProtection="0"/>
    <xf numFmtId="0" fontId="40" fillId="0" borderId="0"/>
  </cellStyleXfs>
  <cellXfs count="246">
    <xf numFmtId="0" fontId="0" fillId="0" borderId="0" xfId="0"/>
    <xf numFmtId="0" fontId="32" fillId="0" borderId="0" xfId="0" applyFont="1"/>
    <xf numFmtId="0" fontId="2" fillId="36" borderId="10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2" fillId="0" borderId="0" xfId="0" applyFont="1" applyAlignment="1">
      <alignment horizontal="right"/>
    </xf>
    <xf numFmtId="14" fontId="32" fillId="0" borderId="12" xfId="0" applyNumberFormat="1" applyFont="1" applyBorder="1"/>
    <xf numFmtId="14" fontId="32" fillId="0" borderId="0" xfId="0" applyNumberFormat="1" applyFont="1"/>
    <xf numFmtId="14" fontId="5" fillId="37" borderId="13" xfId="39" applyNumberFormat="1" applyFont="1" applyFill="1" applyBorder="1"/>
    <xf numFmtId="14" fontId="5" fillId="37" borderId="14" xfId="39" applyNumberFormat="1" applyFont="1" applyFill="1" applyBorder="1"/>
    <xf numFmtId="14" fontId="5" fillId="37" borderId="15" xfId="39" applyNumberFormat="1" applyFont="1" applyFill="1" applyBorder="1"/>
    <xf numFmtId="14" fontId="5" fillId="37" borderId="0" xfId="39" applyNumberFormat="1" applyFont="1" applyFill="1"/>
    <xf numFmtId="14" fontId="5" fillId="37" borderId="16" xfId="39" applyNumberFormat="1" applyFont="1" applyFill="1" applyBorder="1"/>
    <xf numFmtId="14" fontId="5" fillId="37" borderId="17" xfId="39" applyNumberFormat="1" applyFont="1" applyFill="1" applyBorder="1"/>
    <xf numFmtId="14" fontId="5" fillId="37" borderId="18" xfId="39" applyNumberFormat="1" applyFont="1" applyFill="1" applyBorder="1"/>
    <xf numFmtId="14" fontId="5" fillId="37" borderId="19" xfId="39" applyNumberFormat="1" applyFont="1" applyFill="1" applyBorder="1"/>
    <xf numFmtId="0" fontId="32" fillId="37" borderId="0" xfId="0" applyFont="1" applyFill="1"/>
    <xf numFmtId="49" fontId="0" fillId="38" borderId="12" xfId="0" applyNumberFormat="1" applyFill="1" applyBorder="1"/>
    <xf numFmtId="49" fontId="0" fillId="39" borderId="12" xfId="0" applyNumberFormat="1" applyFill="1" applyBorder="1"/>
    <xf numFmtId="14" fontId="0" fillId="38" borderId="12" xfId="0" applyNumberFormat="1" applyFill="1" applyBorder="1"/>
    <xf numFmtId="14" fontId="0" fillId="39" borderId="12" xfId="0" applyNumberFormat="1" applyFill="1" applyBorder="1"/>
    <xf numFmtId="49" fontId="33" fillId="38" borderId="12" xfId="0" applyNumberFormat="1" applyFont="1" applyFill="1" applyBorder="1"/>
    <xf numFmtId="14" fontId="33" fillId="38" borderId="12" xfId="0" applyNumberFormat="1" applyFont="1" applyFill="1" applyBorder="1"/>
    <xf numFmtId="49" fontId="33" fillId="39" borderId="12" xfId="0" applyNumberFormat="1" applyFont="1" applyFill="1" applyBorder="1"/>
    <xf numFmtId="14" fontId="33" fillId="39" borderId="12" xfId="0" applyNumberFormat="1" applyFont="1" applyFill="1" applyBorder="1"/>
    <xf numFmtId="0" fontId="6" fillId="38" borderId="0" xfId="39" applyFont="1" applyFill="1" applyAlignment="1">
      <alignment horizontal="center"/>
    </xf>
    <xf numFmtId="0" fontId="6" fillId="0" borderId="0" xfId="39" applyFont="1" applyAlignment="1">
      <alignment horizont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0" fillId="38" borderId="0" xfId="0" applyFill="1"/>
    <xf numFmtId="0" fontId="27" fillId="40" borderId="20" xfId="0" applyFont="1" applyFill="1" applyBorder="1" applyAlignment="1">
      <alignment horizontal="center" vertical="center" wrapText="1"/>
    </xf>
    <xf numFmtId="0" fontId="27" fillId="40" borderId="12" xfId="0" applyFont="1" applyFill="1" applyBorder="1" applyAlignment="1">
      <alignment horizontal="center" vertical="center" wrapText="1"/>
    </xf>
    <xf numFmtId="0" fontId="27" fillId="38" borderId="0" xfId="0" applyFont="1" applyFill="1" applyAlignment="1">
      <alignment horizontal="center" vertical="center"/>
    </xf>
    <xf numFmtId="0" fontId="27" fillId="40" borderId="12" xfId="0" applyFont="1" applyFill="1" applyBorder="1" applyAlignment="1">
      <alignment horizontal="center" vertical="center"/>
    </xf>
    <xf numFmtId="4" fontId="0" fillId="38" borderId="12" xfId="0" applyNumberFormat="1" applyFill="1" applyBorder="1"/>
    <xf numFmtId="0" fontId="0" fillId="38" borderId="12" xfId="0" applyFill="1" applyBorder="1"/>
    <xf numFmtId="4" fontId="0" fillId="0" borderId="12" xfId="0" applyNumberFormat="1" applyBorder="1"/>
    <xf numFmtId="4" fontId="0" fillId="38" borderId="0" xfId="0" applyNumberFormat="1" applyFill="1"/>
    <xf numFmtId="43" fontId="15" fillId="38" borderId="12" xfId="33" applyFont="1" applyFill="1" applyBorder="1"/>
    <xf numFmtId="43" fontId="15" fillId="41" borderId="12" xfId="33" applyFont="1" applyFill="1" applyBorder="1"/>
    <xf numFmtId="4" fontId="0" fillId="41" borderId="12" xfId="0" applyNumberFormat="1" applyFill="1" applyBorder="1"/>
    <xf numFmtId="4" fontId="0" fillId="0" borderId="0" xfId="0" applyNumberFormat="1"/>
    <xf numFmtId="4" fontId="0" fillId="39" borderId="12" xfId="0" applyNumberFormat="1" applyFill="1" applyBorder="1"/>
    <xf numFmtId="0" fontId="0" fillId="39" borderId="12" xfId="0" applyFill="1" applyBorder="1"/>
    <xf numFmtId="4" fontId="0" fillId="39" borderId="0" xfId="0" applyNumberFormat="1" applyFill="1"/>
    <xf numFmtId="0" fontId="0" fillId="39" borderId="0" xfId="0" applyFill="1"/>
    <xf numFmtId="4" fontId="31" fillId="40" borderId="0" xfId="0" applyNumberFormat="1" applyFont="1" applyFill="1"/>
    <xf numFmtId="4" fontId="31" fillId="38" borderId="0" xfId="0" applyNumberFormat="1" applyFont="1" applyFill="1"/>
    <xf numFmtId="10" fontId="15" fillId="38" borderId="0" xfId="43" applyNumberFormat="1" applyFont="1" applyFill="1"/>
    <xf numFmtId="49" fontId="32" fillId="0" borderId="0" xfId="0" applyNumberFormat="1" applyFont="1"/>
    <xf numFmtId="4" fontId="32" fillId="0" borderId="0" xfId="0" applyNumberFormat="1" applyFont="1"/>
    <xf numFmtId="14" fontId="3" fillId="0" borderId="0" xfId="41" applyNumberFormat="1" applyFont="1" applyAlignment="1">
      <alignment horizontal="center" vertical="center"/>
    </xf>
    <xf numFmtId="4" fontId="32" fillId="0" borderId="22" xfId="0" applyNumberFormat="1" applyFont="1" applyBorder="1"/>
    <xf numFmtId="14" fontId="33" fillId="0" borderId="0" xfId="0" applyNumberFormat="1" applyFont="1"/>
    <xf numFmtId="0" fontId="32" fillId="0" borderId="22" xfId="0" applyFont="1" applyBorder="1"/>
    <xf numFmtId="0" fontId="32" fillId="43" borderId="22" xfId="0" applyFont="1" applyFill="1" applyBorder="1"/>
    <xf numFmtId="0" fontId="32" fillId="43" borderId="23" xfId="0" applyFont="1" applyFill="1" applyBorder="1"/>
    <xf numFmtId="4" fontId="32" fillId="0" borderId="24" xfId="0" applyNumberFormat="1" applyFont="1" applyBorder="1"/>
    <xf numFmtId="4" fontId="32" fillId="0" borderId="23" xfId="0" applyNumberFormat="1" applyFont="1" applyBorder="1"/>
    <xf numFmtId="43" fontId="15" fillId="0" borderId="0" xfId="33" applyFont="1"/>
    <xf numFmtId="49" fontId="33" fillId="0" borderId="12" xfId="0" applyNumberFormat="1" applyFont="1" applyBorder="1"/>
    <xf numFmtId="0" fontId="13" fillId="38" borderId="25" xfId="40" applyFont="1" applyFill="1" applyBorder="1" applyAlignment="1">
      <alignment horizontal="left" vertical="center"/>
    </xf>
    <xf numFmtId="0" fontId="32" fillId="38" borderId="26" xfId="40" applyFont="1" applyFill="1" applyBorder="1"/>
    <xf numFmtId="4" fontId="34" fillId="0" borderId="27" xfId="0" applyNumberFormat="1" applyFont="1" applyBorder="1" applyAlignment="1">
      <alignment horizontal="right" vertical="center" wrapText="1"/>
    </xf>
    <xf numFmtId="0" fontId="13" fillId="38" borderId="24" xfId="40" applyFont="1" applyFill="1" applyBorder="1" applyAlignment="1">
      <alignment horizontal="left" vertical="center"/>
    </xf>
    <xf numFmtId="0" fontId="32" fillId="38" borderId="0" xfId="40" applyFont="1" applyFill="1"/>
    <xf numFmtId="9" fontId="32" fillId="38" borderId="28" xfId="40" applyNumberFormat="1" applyFont="1" applyFill="1" applyBorder="1"/>
    <xf numFmtId="4" fontId="32" fillId="0" borderId="28" xfId="40" applyNumberFormat="1" applyFont="1" applyBorder="1"/>
    <xf numFmtId="0" fontId="13" fillId="38" borderId="24" xfId="40" applyFont="1" applyFill="1" applyBorder="1" applyAlignment="1">
      <alignment horizontal="center" vertical="center"/>
    </xf>
    <xf numFmtId="164" fontId="32" fillId="38" borderId="0" xfId="40" applyNumberFormat="1" applyFont="1" applyFill="1"/>
    <xf numFmtId="164" fontId="32" fillId="38" borderId="28" xfId="40" applyNumberFormat="1" applyFont="1" applyFill="1" applyBorder="1"/>
    <xf numFmtId="9" fontId="32" fillId="38" borderId="0" xfId="40" applyNumberFormat="1" applyFont="1" applyFill="1"/>
    <xf numFmtId="165" fontId="14" fillId="38" borderId="28" xfId="40" applyNumberFormat="1" applyFont="1" applyFill="1" applyBorder="1" applyAlignment="1">
      <alignment horizontal="right" vertical="center"/>
    </xf>
    <xf numFmtId="0" fontId="13" fillId="38" borderId="23" xfId="40" applyFont="1" applyFill="1" applyBorder="1" applyAlignment="1">
      <alignment horizontal="left" vertical="center"/>
    </xf>
    <xf numFmtId="0" fontId="32" fillId="38" borderId="22" xfId="40" applyFont="1" applyFill="1" applyBorder="1"/>
    <xf numFmtId="9" fontId="32" fillId="38" borderId="22" xfId="40" applyNumberFormat="1" applyFont="1" applyFill="1" applyBorder="1"/>
    <xf numFmtId="166" fontId="32" fillId="38" borderId="29" xfId="40" applyNumberFormat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49" fontId="0" fillId="0" borderId="12" xfId="0" applyNumberFormat="1" applyBorder="1" applyAlignment="1">
      <alignment wrapText="1"/>
    </xf>
    <xf numFmtId="0" fontId="12" fillId="2" borderId="30" xfId="0" applyFont="1" applyFill="1" applyBorder="1" applyAlignment="1" applyProtection="1">
      <alignment vertical="center"/>
      <protection hidden="1"/>
    </xf>
    <xf numFmtId="4" fontId="12" fillId="2" borderId="30" xfId="0" applyNumberFormat="1" applyFont="1" applyFill="1" applyBorder="1" applyAlignment="1" applyProtection="1">
      <alignment vertical="center"/>
      <protection hidden="1"/>
    </xf>
    <xf numFmtId="0" fontId="35" fillId="46" borderId="42" xfId="0" applyFont="1" applyFill="1" applyBorder="1" applyAlignment="1" applyProtection="1">
      <alignment vertical="center"/>
      <protection hidden="1"/>
    </xf>
    <xf numFmtId="4" fontId="35" fillId="47" borderId="12" xfId="35" applyNumberFormat="1" applyFont="1" applyFill="1" applyBorder="1" applyAlignment="1" applyProtection="1">
      <alignment horizontal="center" vertical="center"/>
      <protection hidden="1"/>
    </xf>
    <xf numFmtId="168" fontId="12" fillId="2" borderId="12" xfId="34" applyFont="1" applyFill="1" applyBorder="1" applyAlignment="1" applyProtection="1">
      <alignment horizontal="left" vertical="center"/>
      <protection hidden="1"/>
    </xf>
    <xf numFmtId="4" fontId="12" fillId="2" borderId="12" xfId="35" applyNumberFormat="1" applyFont="1" applyFill="1" applyBorder="1" applyAlignment="1" applyProtection="1">
      <alignment horizontal="right" vertical="center"/>
      <protection hidden="1"/>
    </xf>
    <xf numFmtId="168" fontId="36" fillId="2" borderId="12" xfId="34" applyFont="1" applyFill="1" applyBorder="1" applyAlignment="1" applyProtection="1">
      <alignment horizontal="right" vertical="center"/>
      <protection hidden="1"/>
    </xf>
    <xf numFmtId="167" fontId="12" fillId="48" borderId="12" xfId="35" applyFont="1" applyFill="1" applyBorder="1" applyAlignment="1" applyProtection="1">
      <alignment horizontal="center" vertical="center"/>
      <protection hidden="1"/>
    </xf>
    <xf numFmtId="9" fontId="12" fillId="2" borderId="31" xfId="44" applyFont="1" applyFill="1" applyBorder="1" applyAlignment="1" applyProtection="1">
      <alignment horizontal="center" vertical="center"/>
      <protection hidden="1"/>
    </xf>
    <xf numFmtId="4" fontId="1" fillId="49" borderId="2" xfId="0" applyNumberFormat="1" applyFont="1" applyFill="1" applyBorder="1"/>
    <xf numFmtId="17" fontId="32" fillId="0" borderId="0" xfId="0" applyNumberFormat="1" applyFont="1"/>
    <xf numFmtId="17" fontId="2" fillId="0" borderId="0" xfId="0" applyNumberFormat="1" applyFont="1" applyAlignment="1">
      <alignment horizontal="center" wrapText="1"/>
    </xf>
    <xf numFmtId="4" fontId="1" fillId="49" borderId="0" xfId="0" applyNumberFormat="1" applyFont="1" applyFill="1"/>
    <xf numFmtId="4" fontId="32" fillId="42" borderId="0" xfId="0" applyNumberFormat="1" applyFont="1" applyFill="1"/>
    <xf numFmtId="0" fontId="2" fillId="0" borderId="32" xfId="0" applyFont="1" applyBorder="1" applyAlignment="1">
      <alignment horizontal="center" wrapText="1"/>
    </xf>
    <xf numFmtId="4" fontId="32" fillId="41" borderId="0" xfId="0" applyNumberFormat="1" applyFont="1" applyFill="1"/>
    <xf numFmtId="0" fontId="37" fillId="0" borderId="0" xfId="0" applyFont="1"/>
    <xf numFmtId="0" fontId="11" fillId="3" borderId="12" xfId="40" applyFont="1" applyFill="1" applyBorder="1" applyAlignment="1">
      <alignment vertical="center" wrapText="1"/>
    </xf>
    <xf numFmtId="0" fontId="10" fillId="3" borderId="12" xfId="40" applyFont="1" applyFill="1" applyBorder="1" applyAlignment="1">
      <alignment vertical="center" wrapText="1"/>
    </xf>
    <xf numFmtId="0" fontId="33" fillId="0" borderId="12" xfId="0" applyFont="1" applyBorder="1"/>
    <xf numFmtId="43" fontId="33" fillId="0" borderId="12" xfId="33" applyFont="1" applyBorder="1"/>
    <xf numFmtId="167" fontId="14" fillId="38" borderId="12" xfId="37" applyFont="1" applyFill="1" applyBorder="1" applyAlignment="1">
      <alignment horizontal="right" vertical="center"/>
    </xf>
    <xf numFmtId="4" fontId="14" fillId="0" borderId="12" xfId="40" applyNumberFormat="1" applyFont="1" applyBorder="1" applyAlignment="1">
      <alignment horizontal="center" vertical="center"/>
    </xf>
    <xf numFmtId="4" fontId="14" fillId="38" borderId="12" xfId="40" applyNumberFormat="1" applyFont="1" applyFill="1" applyBorder="1" applyAlignment="1">
      <alignment horizontal="right" vertical="center"/>
    </xf>
    <xf numFmtId="4" fontId="13" fillId="38" borderId="12" xfId="40" applyNumberFormat="1" applyFont="1" applyFill="1" applyBorder="1" applyAlignment="1">
      <alignment horizontal="center" vertical="center"/>
    </xf>
    <xf numFmtId="167" fontId="13" fillId="38" borderId="12" xfId="37" applyFont="1" applyFill="1" applyBorder="1" applyAlignment="1">
      <alignment horizontal="right" vertical="center"/>
    </xf>
    <xf numFmtId="4" fontId="14" fillId="38" borderId="12" xfId="40" applyNumberFormat="1" applyFont="1" applyFill="1" applyBorder="1" applyAlignment="1">
      <alignment horizontal="center" vertical="center"/>
    </xf>
    <xf numFmtId="167" fontId="14" fillId="50" borderId="12" xfId="37" applyFont="1" applyFill="1" applyBorder="1" applyAlignment="1">
      <alignment horizontal="right" vertical="center"/>
    </xf>
    <xf numFmtId="167" fontId="13" fillId="38" borderId="12" xfId="36" applyFont="1" applyFill="1" applyBorder="1" applyAlignment="1">
      <alignment horizontal="right" vertical="center"/>
    </xf>
    <xf numFmtId="43" fontId="32" fillId="0" borderId="0" xfId="33" applyFont="1"/>
    <xf numFmtId="0" fontId="38" fillId="0" borderId="0" xfId="0" applyFont="1"/>
    <xf numFmtId="0" fontId="30" fillId="0" borderId="0" xfId="0" applyFont="1"/>
    <xf numFmtId="0" fontId="32" fillId="38" borderId="0" xfId="0" applyFont="1" applyFill="1" applyAlignment="1">
      <alignment horizontal="right"/>
    </xf>
    <xf numFmtId="0" fontId="32" fillId="0" borderId="24" xfId="0" applyFont="1" applyBorder="1"/>
    <xf numFmtId="0" fontId="32" fillId="0" borderId="23" xfId="0" applyFont="1" applyBorder="1"/>
    <xf numFmtId="0" fontId="32" fillId="41" borderId="29" xfId="0" applyFont="1" applyFill="1" applyBorder="1"/>
    <xf numFmtId="0" fontId="37" fillId="0" borderId="12" xfId="0" applyFont="1" applyBorder="1"/>
    <xf numFmtId="0" fontId="33" fillId="0" borderId="0" xfId="0" applyFont="1"/>
    <xf numFmtId="0" fontId="1" fillId="0" borderId="0" xfId="0" applyFont="1"/>
    <xf numFmtId="0" fontId="2" fillId="35" borderId="1" xfId="0" applyFont="1" applyFill="1" applyBorder="1"/>
    <xf numFmtId="0" fontId="2" fillId="35" borderId="2" xfId="0" applyFont="1" applyFill="1" applyBorder="1"/>
    <xf numFmtId="0" fontId="2" fillId="35" borderId="3" xfId="0" applyFont="1" applyFill="1" applyBorder="1"/>
    <xf numFmtId="0" fontId="2" fillId="35" borderId="4" xfId="0" applyFont="1" applyFill="1" applyBorder="1"/>
    <xf numFmtId="0" fontId="2" fillId="35" borderId="0" xfId="0" applyFont="1" applyFill="1"/>
    <xf numFmtId="0" fontId="2" fillId="35" borderId="5" xfId="0" applyFont="1" applyFill="1" applyBorder="1"/>
    <xf numFmtId="0" fontId="2" fillId="35" borderId="6" xfId="0" applyFont="1" applyFill="1" applyBorder="1"/>
    <xf numFmtId="0" fontId="2" fillId="35" borderId="7" xfId="0" applyFont="1" applyFill="1" applyBorder="1"/>
    <xf numFmtId="0" fontId="2" fillId="35" borderId="8" xfId="0" applyFont="1" applyFill="1" applyBorder="1"/>
    <xf numFmtId="0" fontId="2" fillId="36" borderId="1" xfId="0" applyFont="1" applyFill="1" applyBorder="1" applyAlignment="1">
      <alignment horizontal="center" wrapText="1"/>
    </xf>
    <xf numFmtId="0" fontId="2" fillId="36" borderId="2" xfId="0" applyFont="1" applyFill="1" applyBorder="1" applyAlignment="1">
      <alignment horizontal="center" wrapText="1"/>
    </xf>
    <xf numFmtId="0" fontId="2" fillId="36" borderId="3" xfId="0" applyFont="1" applyFill="1" applyBorder="1" applyAlignment="1">
      <alignment horizontal="center" wrapText="1"/>
    </xf>
    <xf numFmtId="0" fontId="2" fillId="36" borderId="9" xfId="0" applyFont="1" applyFill="1" applyBorder="1" applyAlignment="1">
      <alignment horizontal="center" wrapText="1"/>
    </xf>
    <xf numFmtId="0" fontId="2" fillId="36" borderId="11" xfId="0" applyFont="1" applyFill="1" applyBorder="1" applyAlignment="1">
      <alignment horizontal="center" wrapText="1"/>
    </xf>
    <xf numFmtId="0" fontId="2" fillId="36" borderId="6" xfId="0" applyFont="1" applyFill="1" applyBorder="1" applyAlignment="1">
      <alignment horizontal="center" wrapText="1"/>
    </xf>
    <xf numFmtId="0" fontId="2" fillId="36" borderId="7" xfId="0" applyFont="1" applyFill="1" applyBorder="1" applyAlignment="1">
      <alignment horizontal="center" wrapText="1"/>
    </xf>
    <xf numFmtId="0" fontId="2" fillId="36" borderId="8" xfId="0" applyFont="1" applyFill="1" applyBorder="1" applyAlignment="1">
      <alignment horizontal="center" wrapText="1"/>
    </xf>
    <xf numFmtId="0" fontId="32" fillId="0" borderId="2" xfId="0" applyFont="1" applyBorder="1"/>
    <xf numFmtId="0" fontId="32" fillId="0" borderId="0" xfId="0" applyFont="1"/>
    <xf numFmtId="0" fontId="39" fillId="51" borderId="43" xfId="0" applyFont="1" applyFill="1" applyBorder="1" applyAlignment="1">
      <alignment horizontal="center"/>
    </xf>
    <xf numFmtId="0" fontId="39" fillId="51" borderId="44" xfId="0" applyFont="1" applyFill="1" applyBorder="1" applyAlignment="1">
      <alignment horizontal="center"/>
    </xf>
    <xf numFmtId="0" fontId="39" fillId="51" borderId="45" xfId="0" applyFont="1" applyFill="1" applyBorder="1" applyAlignment="1">
      <alignment horizontal="center"/>
    </xf>
    <xf numFmtId="0" fontId="37" fillId="51" borderId="43" xfId="0" applyFont="1" applyFill="1" applyBorder="1" applyAlignment="1">
      <alignment horizontal="center"/>
    </xf>
    <xf numFmtId="0" fontId="37" fillId="51" borderId="44" xfId="0" applyFont="1" applyFill="1" applyBorder="1" applyAlignment="1">
      <alignment horizontal="center"/>
    </xf>
    <xf numFmtId="0" fontId="37" fillId="51" borderId="45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7" fillId="0" borderId="12" xfId="0" applyFont="1" applyBorder="1" applyAlignment="1">
      <alignment horizontal="center"/>
    </xf>
    <xf numFmtId="0" fontId="7" fillId="36" borderId="20" xfId="39" applyFont="1" applyFill="1" applyBorder="1" applyAlignment="1">
      <alignment horizontal="center" wrapText="1"/>
    </xf>
    <xf numFmtId="0" fontId="7" fillId="36" borderId="21" xfId="39" applyFont="1" applyFill="1" applyBorder="1" applyAlignment="1">
      <alignment horizontal="center" wrapText="1"/>
    </xf>
    <xf numFmtId="0" fontId="5" fillId="36" borderId="20" xfId="39" applyFont="1" applyFill="1" applyBorder="1" applyAlignment="1">
      <alignment horizontal="center" wrapText="1"/>
    </xf>
    <xf numFmtId="0" fontId="5" fillId="36" borderId="21" xfId="39" applyFont="1" applyFill="1" applyBorder="1" applyAlignment="1">
      <alignment horizontal="center" wrapText="1"/>
    </xf>
    <xf numFmtId="0" fontId="30" fillId="0" borderId="0" xfId="0" applyFont="1" applyAlignment="1">
      <alignment horizontal="center" vertical="center"/>
    </xf>
    <xf numFmtId="0" fontId="2" fillId="36" borderId="4" xfId="0" applyFont="1" applyFill="1" applyBorder="1" applyAlignment="1">
      <alignment horizontal="center" wrapText="1"/>
    </xf>
    <xf numFmtId="0" fontId="2" fillId="36" borderId="5" xfId="0" applyFont="1" applyFill="1" applyBorder="1" applyAlignment="1">
      <alignment horizontal="center" wrapText="1"/>
    </xf>
    <xf numFmtId="0" fontId="40" fillId="0" borderId="31" xfId="52" applyBorder="1" applyAlignment="1">
      <alignment vertical="center"/>
    </xf>
    <xf numFmtId="4" fontId="40" fillId="0" borderId="31" xfId="52" applyNumberFormat="1" applyBorder="1" applyAlignment="1">
      <alignment vertical="center"/>
    </xf>
    <xf numFmtId="0" fontId="40" fillId="0" borderId="46" xfId="52" applyBorder="1" applyAlignment="1">
      <alignment vertical="center"/>
    </xf>
    <xf numFmtId="0" fontId="40" fillId="2" borderId="31" xfId="52" applyFill="1" applyBorder="1" applyAlignment="1">
      <alignment vertical="center"/>
    </xf>
    <xf numFmtId="0" fontId="40" fillId="0" borderId="30" xfId="52" applyBorder="1" applyAlignment="1">
      <alignment vertical="center"/>
    </xf>
    <xf numFmtId="0" fontId="41" fillId="0" borderId="31" xfId="52" applyFont="1" applyBorder="1" applyAlignment="1">
      <alignment vertical="center"/>
    </xf>
    <xf numFmtId="4" fontId="41" fillId="0" borderId="31" xfId="52" applyNumberFormat="1" applyFont="1" applyBorder="1" applyAlignment="1">
      <alignment vertical="center"/>
    </xf>
    <xf numFmtId="0" fontId="41" fillId="0" borderId="46" xfId="52" applyFont="1" applyBorder="1" applyAlignment="1">
      <alignment vertical="center"/>
    </xf>
    <xf numFmtId="0" fontId="41" fillId="2" borderId="31" xfId="52" applyFont="1" applyFill="1" applyBorder="1" applyAlignment="1">
      <alignment vertical="center"/>
    </xf>
    <xf numFmtId="0" fontId="41" fillId="0" borderId="30" xfId="52" applyFont="1" applyBorder="1" applyAlignment="1">
      <alignment vertical="center"/>
    </xf>
    <xf numFmtId="0" fontId="42" fillId="0" borderId="30" xfId="52" applyFont="1" applyBorder="1" applyAlignment="1">
      <alignment vertical="center"/>
    </xf>
    <xf numFmtId="0" fontId="42" fillId="0" borderId="31" xfId="52" applyFont="1" applyBorder="1" applyAlignment="1">
      <alignment vertical="center"/>
    </xf>
    <xf numFmtId="0" fontId="42" fillId="0" borderId="46" xfId="52" applyFont="1" applyBorder="1" applyAlignment="1">
      <alignment vertical="center"/>
    </xf>
    <xf numFmtId="0" fontId="43" fillId="2" borderId="31" xfId="52" applyFont="1" applyFill="1" applyBorder="1" applyAlignment="1">
      <alignment horizontal="center" vertical="center"/>
    </xf>
    <xf numFmtId="0" fontId="44" fillId="38" borderId="47" xfId="52" applyFont="1" applyFill="1" applyBorder="1" applyAlignment="1">
      <alignment horizontal="center" vertical="center"/>
    </xf>
    <xf numFmtId="0" fontId="44" fillId="38" borderId="48" xfId="52" applyFont="1" applyFill="1" applyBorder="1" applyAlignment="1">
      <alignment horizontal="center" vertical="center"/>
    </xf>
    <xf numFmtId="0" fontId="44" fillId="38" borderId="49" xfId="52" applyFont="1" applyFill="1" applyBorder="1" applyAlignment="1">
      <alignment horizontal="center" vertical="center"/>
    </xf>
    <xf numFmtId="0" fontId="42" fillId="38" borderId="31" xfId="52" applyFont="1" applyFill="1" applyBorder="1" applyAlignment="1">
      <alignment vertical="center"/>
    </xf>
    <xf numFmtId="169" fontId="44" fillId="38" borderId="47" xfId="52" applyNumberFormat="1" applyFont="1" applyFill="1" applyBorder="1" applyAlignment="1">
      <alignment horizontal="center" vertical="center"/>
    </xf>
    <xf numFmtId="169" fontId="44" fillId="38" borderId="49" xfId="52" applyNumberFormat="1" applyFont="1" applyFill="1" applyBorder="1" applyAlignment="1">
      <alignment horizontal="left" vertical="center"/>
    </xf>
    <xf numFmtId="0" fontId="44" fillId="38" borderId="50" xfId="52" applyFont="1" applyFill="1" applyBorder="1" applyAlignment="1">
      <alignment horizontal="right" vertical="center"/>
    </xf>
    <xf numFmtId="0" fontId="41" fillId="2" borderId="46" xfId="52" applyFont="1" applyFill="1" applyBorder="1" applyAlignment="1">
      <alignment horizontal="center" vertical="center"/>
    </xf>
    <xf numFmtId="0" fontId="42" fillId="38" borderId="26" xfId="52" applyFont="1" applyFill="1" applyBorder="1" applyAlignment="1">
      <alignment horizontal="center" vertical="center" wrapText="1"/>
    </xf>
    <xf numFmtId="0" fontId="42" fillId="38" borderId="30" xfId="52" applyFont="1" applyFill="1" applyBorder="1" applyAlignment="1">
      <alignment vertical="center"/>
    </xf>
    <xf numFmtId="0" fontId="42" fillId="38" borderId="46" xfId="52" applyFont="1" applyFill="1" applyBorder="1" applyAlignment="1">
      <alignment vertical="center"/>
    </xf>
    <xf numFmtId="0" fontId="42" fillId="38" borderId="0" xfId="52" applyFont="1" applyFill="1" applyAlignment="1">
      <alignment vertical="center"/>
    </xf>
    <xf numFmtId="4" fontId="42" fillId="38" borderId="26" xfId="52" applyNumberFormat="1" applyFont="1" applyFill="1" applyBorder="1" applyAlignment="1">
      <alignment horizontal="center" vertical="center"/>
    </xf>
    <xf numFmtId="0" fontId="42" fillId="0" borderId="51" xfId="52" applyFont="1" applyBorder="1" applyAlignment="1">
      <alignment vertical="center"/>
    </xf>
    <xf numFmtId="0" fontId="42" fillId="0" borderId="52" xfId="52" applyFont="1" applyBorder="1" applyAlignment="1">
      <alignment vertical="center"/>
    </xf>
    <xf numFmtId="0" fontId="42" fillId="0" borderId="53" xfId="52" applyFont="1" applyBorder="1" applyAlignment="1">
      <alignment vertical="center"/>
    </xf>
    <xf numFmtId="170" fontId="42" fillId="0" borderId="31" xfId="52" applyNumberFormat="1" applyFont="1" applyBorder="1" applyAlignment="1">
      <alignment horizontal="left" vertical="center"/>
    </xf>
    <xf numFmtId="170" fontId="42" fillId="0" borderId="46" xfId="52" applyNumberFormat="1" applyFont="1" applyBorder="1" applyAlignment="1">
      <alignment horizontal="right" vertical="center"/>
    </xf>
    <xf numFmtId="170" fontId="42" fillId="0" borderId="46" xfId="52" applyNumberFormat="1" applyFont="1" applyBorder="1" applyAlignment="1">
      <alignment vertical="center"/>
    </xf>
    <xf numFmtId="0" fontId="42" fillId="38" borderId="49" xfId="52" applyFont="1" applyFill="1" applyBorder="1" applyAlignment="1">
      <alignment vertical="center"/>
    </xf>
    <xf numFmtId="171" fontId="41" fillId="2" borderId="46" xfId="52" applyNumberFormat="1" applyFont="1" applyFill="1" applyBorder="1" applyAlignment="1">
      <alignment vertical="center"/>
    </xf>
    <xf numFmtId="0" fontId="42" fillId="38" borderId="54" xfId="52" applyFont="1" applyFill="1" applyBorder="1" applyAlignment="1">
      <alignment vertical="center"/>
    </xf>
    <xf numFmtId="4" fontId="45" fillId="0" borderId="31" xfId="52" applyNumberFormat="1" applyFont="1" applyBorder="1" applyAlignment="1">
      <alignment vertical="center"/>
    </xf>
    <xf numFmtId="171" fontId="44" fillId="38" borderId="55" xfId="52" applyNumberFormat="1" applyFont="1" applyFill="1" applyBorder="1" applyAlignment="1">
      <alignment vertical="center"/>
    </xf>
    <xf numFmtId="171" fontId="42" fillId="0" borderId="30" xfId="52" applyNumberFormat="1" applyFont="1" applyBorder="1" applyAlignment="1">
      <alignment vertical="center"/>
    </xf>
    <xf numFmtId="0" fontId="44" fillId="0" borderId="46" xfId="52" applyFont="1" applyBorder="1" applyAlignment="1">
      <alignment vertical="center"/>
    </xf>
    <xf numFmtId="171" fontId="42" fillId="38" borderId="0" xfId="52" applyNumberFormat="1" applyFont="1" applyFill="1" applyAlignment="1">
      <alignment vertical="center"/>
    </xf>
    <xf numFmtId="0" fontId="41" fillId="0" borderId="56" xfId="52" applyFont="1" applyBorder="1" applyAlignment="1">
      <alignment vertical="center"/>
    </xf>
    <xf numFmtId="171" fontId="42" fillId="38" borderId="26" xfId="52" applyNumberFormat="1" applyFont="1" applyFill="1" applyBorder="1" applyAlignment="1">
      <alignment vertical="center"/>
    </xf>
    <xf numFmtId="1" fontId="41" fillId="0" borderId="31" xfId="52" applyNumberFormat="1" applyFont="1" applyBorder="1" applyAlignment="1">
      <alignment vertical="center"/>
    </xf>
    <xf numFmtId="0" fontId="41" fillId="2" borderId="46" xfId="52" applyFont="1" applyFill="1" applyBorder="1" applyAlignment="1">
      <alignment vertical="center"/>
    </xf>
    <xf numFmtId="2" fontId="42" fillId="38" borderId="0" xfId="52" applyNumberFormat="1" applyFont="1" applyFill="1" applyAlignment="1">
      <alignment vertical="center"/>
    </xf>
    <xf numFmtId="1" fontId="42" fillId="38" borderId="0" xfId="52" applyNumberFormat="1" applyFont="1" applyFill="1" applyAlignment="1">
      <alignment vertical="center"/>
    </xf>
    <xf numFmtId="171" fontId="42" fillId="0" borderId="31" xfId="52" applyNumberFormat="1" applyFont="1" applyBorder="1" applyAlignment="1">
      <alignment vertical="center"/>
    </xf>
    <xf numFmtId="9" fontId="42" fillId="38" borderId="0" xfId="52" applyNumberFormat="1" applyFont="1" applyFill="1" applyAlignment="1">
      <alignment horizontal="right" vertical="center"/>
    </xf>
    <xf numFmtId="171" fontId="42" fillId="0" borderId="57" xfId="52" applyNumberFormat="1" applyFont="1" applyBorder="1" applyAlignment="1">
      <alignment vertical="center"/>
    </xf>
    <xf numFmtId="0" fontId="41" fillId="2" borderId="31" xfId="52" applyFont="1" applyFill="1" applyBorder="1" applyAlignment="1">
      <alignment horizontal="justify" vertical="top"/>
    </xf>
    <xf numFmtId="0" fontId="42" fillId="38" borderId="47" xfId="52" applyFont="1" applyFill="1" applyBorder="1" applyAlignment="1">
      <alignment horizontal="justify" vertical="top"/>
    </xf>
    <xf numFmtId="0" fontId="42" fillId="38" borderId="48" xfId="52" applyFont="1" applyFill="1" applyBorder="1" applyAlignment="1">
      <alignment horizontal="justify" vertical="top"/>
    </xf>
    <xf numFmtId="0" fontId="42" fillId="38" borderId="49" xfId="52" applyFont="1" applyFill="1" applyBorder="1" applyAlignment="1">
      <alignment horizontal="justify" vertical="top"/>
    </xf>
    <xf numFmtId="0" fontId="41" fillId="38" borderId="31" xfId="52" applyFont="1" applyFill="1" applyBorder="1" applyAlignment="1">
      <alignment vertical="center"/>
    </xf>
    <xf numFmtId="0" fontId="42" fillId="38" borderId="58" xfId="52" applyFont="1" applyFill="1" applyBorder="1" applyAlignment="1">
      <alignment horizontal="justify" vertical="top"/>
    </xf>
    <xf numFmtId="0" fontId="42" fillId="38" borderId="0" xfId="52" applyFont="1" applyFill="1" applyAlignment="1">
      <alignment horizontal="justify" vertical="top"/>
    </xf>
    <xf numFmtId="0" fontId="42" fillId="38" borderId="59" xfId="52" applyFont="1" applyFill="1" applyBorder="1" applyAlignment="1">
      <alignment horizontal="justify" vertical="top"/>
    </xf>
    <xf numFmtId="0" fontId="42" fillId="38" borderId="51" xfId="52" applyFont="1" applyFill="1" applyBorder="1" applyAlignment="1">
      <alignment horizontal="justify" vertical="top"/>
    </xf>
    <xf numFmtId="0" fontId="46" fillId="2" borderId="31" xfId="52" applyFont="1" applyFill="1" applyBorder="1" applyAlignment="1">
      <alignment horizontal="left" vertical="center"/>
    </xf>
    <xf numFmtId="169" fontId="42" fillId="38" borderId="60" xfId="52" applyNumberFormat="1" applyFont="1" applyFill="1" applyBorder="1" applyAlignment="1">
      <alignment horizontal="center" vertical="center"/>
    </xf>
    <xf numFmtId="0" fontId="42" fillId="38" borderId="53" xfId="52" applyFont="1" applyFill="1" applyBorder="1" applyAlignment="1">
      <alignment horizontal="center" vertical="center"/>
    </xf>
    <xf numFmtId="0" fontId="42" fillId="38" borderId="59" xfId="52" applyFont="1" applyFill="1" applyBorder="1" applyAlignment="1">
      <alignment horizontal="center" vertical="center"/>
    </xf>
    <xf numFmtId="0" fontId="42" fillId="38" borderId="61" xfId="52" applyFont="1" applyFill="1" applyBorder="1" applyAlignment="1">
      <alignment horizontal="center" vertical="center"/>
    </xf>
    <xf numFmtId="4" fontId="42" fillId="38" borderId="60" xfId="52" applyNumberFormat="1" applyFont="1" applyFill="1" applyBorder="1" applyAlignment="1">
      <alignment horizontal="center" vertical="center"/>
    </xf>
    <xf numFmtId="0" fontId="42" fillId="38" borderId="53" xfId="52" applyFont="1" applyFill="1" applyBorder="1" applyAlignment="1">
      <alignment vertical="center"/>
    </xf>
    <xf numFmtId="0" fontId="47" fillId="2" borderId="31" xfId="52" applyFont="1" applyFill="1" applyBorder="1" applyAlignment="1">
      <alignment horizontal="justify" vertical="center"/>
    </xf>
    <xf numFmtId="14" fontId="46" fillId="38" borderId="0" xfId="52" applyNumberFormat="1" applyFont="1" applyFill="1" applyAlignment="1">
      <alignment horizontal="left" vertical="top" wrapText="1"/>
    </xf>
    <xf numFmtId="0" fontId="40" fillId="38" borderId="31" xfId="52" applyFill="1" applyBorder="1" applyAlignment="1">
      <alignment vertical="center"/>
    </xf>
    <xf numFmtId="14" fontId="42" fillId="38" borderId="58" xfId="52" applyNumberFormat="1" applyFont="1" applyFill="1" applyBorder="1" applyAlignment="1">
      <alignment horizontal="left" vertical="top" wrapText="1"/>
    </xf>
    <xf numFmtId="14" fontId="42" fillId="38" borderId="0" xfId="52" applyNumberFormat="1" applyFont="1" applyFill="1" applyAlignment="1">
      <alignment horizontal="left" vertical="top" wrapText="1"/>
    </xf>
    <xf numFmtId="14" fontId="42" fillId="38" borderId="54" xfId="52" applyNumberFormat="1" applyFont="1" applyFill="1" applyBorder="1" applyAlignment="1">
      <alignment horizontal="left" vertical="top" wrapText="1"/>
    </xf>
    <xf numFmtId="14" fontId="42" fillId="38" borderId="53" xfId="52" applyNumberFormat="1" applyFont="1" applyFill="1" applyBorder="1" applyAlignment="1">
      <alignment horizontal="left" vertical="top" wrapText="1"/>
    </xf>
    <xf numFmtId="14" fontId="42" fillId="38" borderId="59" xfId="52" applyNumberFormat="1" applyFont="1" applyFill="1" applyBorder="1" applyAlignment="1">
      <alignment horizontal="left" vertical="top" wrapText="1"/>
    </xf>
    <xf numFmtId="14" fontId="42" fillId="38" borderId="51" xfId="52" applyNumberFormat="1" applyFont="1" applyFill="1" applyBorder="1" applyAlignment="1">
      <alignment horizontal="left" vertical="top" wrapText="1"/>
    </xf>
    <xf numFmtId="0" fontId="48" fillId="38" borderId="47" xfId="52" applyFont="1" applyFill="1" applyBorder="1" applyAlignment="1">
      <alignment horizontal="center" vertical="center" wrapText="1"/>
    </xf>
    <xf numFmtId="0" fontId="48" fillId="38" borderId="48" xfId="52" applyFont="1" applyFill="1" applyBorder="1" applyAlignment="1">
      <alignment horizontal="center" vertical="center" wrapText="1"/>
    </xf>
    <xf numFmtId="0" fontId="48" fillId="38" borderId="49" xfId="52" applyFont="1" applyFill="1" applyBorder="1" applyAlignment="1">
      <alignment horizontal="center" vertical="center" wrapText="1"/>
    </xf>
    <xf numFmtId="0" fontId="49" fillId="2" borderId="31" xfId="52" applyFont="1" applyFill="1" applyBorder="1" applyAlignment="1">
      <alignment horizontal="center" vertical="center"/>
    </xf>
    <xf numFmtId="0" fontId="50" fillId="38" borderId="58" xfId="52" applyFont="1" applyFill="1" applyBorder="1" applyAlignment="1">
      <alignment horizontal="center" vertical="center"/>
    </xf>
    <xf numFmtId="0" fontId="50" fillId="38" borderId="0" xfId="52" applyFont="1" applyFill="1" applyAlignment="1">
      <alignment horizontal="center" vertical="center"/>
    </xf>
    <xf numFmtId="0" fontId="50" fillId="38" borderId="54" xfId="52" applyFont="1" applyFill="1" applyBorder="1" applyAlignment="1">
      <alignment horizontal="center" vertical="center"/>
    </xf>
    <xf numFmtId="0" fontId="51" fillId="38" borderId="58" xfId="52" applyFont="1" applyFill="1" applyBorder="1" applyAlignment="1">
      <alignment horizontal="center" vertical="center"/>
    </xf>
    <xf numFmtId="0" fontId="51" fillId="38" borderId="0" xfId="52" applyFont="1" applyFill="1" applyAlignment="1">
      <alignment horizontal="center" vertical="center"/>
    </xf>
    <xf numFmtId="0" fontId="40" fillId="38" borderId="59" xfId="52" applyFill="1" applyBorder="1" applyAlignment="1">
      <alignment vertical="center"/>
    </xf>
    <xf numFmtId="0" fontId="51" fillId="38" borderId="47" xfId="52" applyFont="1" applyFill="1" applyBorder="1" applyAlignment="1">
      <alignment horizontal="center" vertical="center"/>
    </xf>
    <xf numFmtId="0" fontId="51" fillId="38" borderId="48" xfId="52" applyFont="1" applyFill="1" applyBorder="1" applyAlignment="1">
      <alignment horizontal="center" vertical="center"/>
    </xf>
    <xf numFmtId="0" fontId="51" fillId="38" borderId="49" xfId="52" applyFont="1" applyFill="1" applyBorder="1" applyAlignment="1">
      <alignment horizontal="center" vertical="center"/>
    </xf>
    <xf numFmtId="0" fontId="40" fillId="38" borderId="46" xfId="52" applyFill="1" applyBorder="1" applyAlignment="1">
      <alignment vertical="center"/>
    </xf>
    <xf numFmtId="0" fontId="52" fillId="38" borderId="53" xfId="52" applyFont="1" applyFill="1" applyBorder="1" applyAlignment="1">
      <alignment horizontal="center" vertical="center"/>
    </xf>
    <xf numFmtId="0" fontId="52" fillId="38" borderId="59" xfId="52" applyFont="1" applyFill="1" applyBorder="1" applyAlignment="1">
      <alignment horizontal="center" vertical="center"/>
    </xf>
    <xf numFmtId="0" fontId="52" fillId="38" borderId="51" xfId="52" applyFont="1" applyFill="1" applyBorder="1" applyAlignment="1">
      <alignment horizontal="center" vertical="center"/>
    </xf>
    <xf numFmtId="0" fontId="53" fillId="0" borderId="46" xfId="52" applyFont="1" applyBorder="1" applyAlignment="1">
      <alignment horizontal="center" vertical="center"/>
    </xf>
  </cellXfs>
  <cellStyles count="5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Millares" xfId="33" builtinId="3"/>
    <cellStyle name="Millares 10 2 2" xfId="34" xr:uid="{31A481BE-2070-4F49-BBAB-D97AC82C2583}"/>
    <cellStyle name="Millares 10 2 2 5 2" xfId="35" xr:uid="{B9A7DC41-1E67-4D60-8BE8-15BB59B73E13}"/>
    <cellStyle name="Millares 17" xfId="36" xr:uid="{7A1008D8-32B4-4C50-BA66-BDC3A49BABA0}"/>
    <cellStyle name="Millares 2 2" xfId="37" xr:uid="{45070229-274A-4940-9914-CCA49E2FAC79}"/>
    <cellStyle name="Neutral" xfId="38" builtinId="28" customBuiltin="1"/>
    <cellStyle name="Normal" xfId="0" builtinId="0"/>
    <cellStyle name="Normal 19" xfId="39" xr:uid="{41645D33-4668-42E1-B105-209F0E9D1A33}"/>
    <cellStyle name="Normal 2" xfId="40" xr:uid="{73AEF28D-EBEC-4042-946C-EA70B8C07AF5}"/>
    <cellStyle name="Normal 3 3 3" xfId="52" xr:uid="{0DCD3944-3A87-47E8-8DCE-E575849BB41D}"/>
    <cellStyle name="Normal 47" xfId="41" xr:uid="{3E127B2F-BBF1-486E-A640-32504EF69920}"/>
    <cellStyle name="Notas" xfId="42" builtinId="10" customBuiltin="1"/>
    <cellStyle name="Porcentaje" xfId="43" builtinId="5"/>
    <cellStyle name="Porcentaje 2 2" xfId="44" xr:uid="{2C95B191-52D2-4E6A-BDC9-E55F0E91C3C1}"/>
    <cellStyle name="Salida" xfId="45" builtinId="21" customBuiltin="1"/>
    <cellStyle name="Texto de advertencia" xfId="46" builtinId="11" customBuiltin="1"/>
    <cellStyle name="Texto explicativo" xfId="47" builtinId="53" customBuiltin="1"/>
    <cellStyle name="Título" xfId="48" builtinId="15" customBuiltin="1"/>
    <cellStyle name="Título 2" xfId="49" builtinId="17" customBuiltin="1"/>
    <cellStyle name="Título 3" xfId="50" builtinId="18" customBuiltin="1"/>
    <cellStyle name="Total" xfId="5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462645</xdr:colOff>
      <xdr:row>4</xdr:row>
      <xdr:rowOff>136072</xdr:rowOff>
    </xdr:from>
    <xdr:ext cx="3678300" cy="1147536"/>
    <xdr:pic>
      <xdr:nvPicPr>
        <xdr:cNvPr id="2" name="3 Imagen">
          <a:extLst>
            <a:ext uri="{FF2B5EF4-FFF2-40B4-BE49-F238E27FC236}">
              <a16:creationId xmlns:a16="http://schemas.microsoft.com/office/drawing/2014/main" id="{FFFC782A-55A7-4096-B64E-7AD074B1E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44" t="10604" r="73747" b="78792"/>
        <a:stretch/>
      </xdr:blipFill>
      <xdr:spPr>
        <a:xfrm>
          <a:off x="5956665" y="867592"/>
          <a:ext cx="3678300" cy="1147536"/>
        </a:xfrm>
        <a:prstGeom prst="rect">
          <a:avLst/>
        </a:prstGeom>
      </xdr:spPr>
    </xdr:pic>
    <xdr:clientData/>
  </xdr:oneCellAnchor>
  <xdr:oneCellAnchor>
    <xdr:from>
      <xdr:col>7</xdr:col>
      <xdr:colOff>938891</xdr:colOff>
      <xdr:row>69</xdr:row>
      <xdr:rowOff>68036</xdr:rowOff>
    </xdr:from>
    <xdr:ext cx="2208137" cy="1330174"/>
    <xdr:pic>
      <xdr:nvPicPr>
        <xdr:cNvPr id="3" name="Imagen 2">
          <a:extLst>
            <a:ext uri="{FF2B5EF4-FFF2-40B4-BE49-F238E27FC236}">
              <a16:creationId xmlns:a16="http://schemas.microsoft.com/office/drawing/2014/main" id="{13179D55-77D4-43B2-85AF-4532168EF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0511" y="12686756"/>
          <a:ext cx="2208137" cy="133017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aredescanoasoc.sharepoint.com/sites/FILESERVER25/Documentos%20compartidos/FILE%20PAREDESCANO%202025/09-%20RECURSOS%20HUMANOS%202025/NOMINAS%202025/01-%20NOMINA%202025/GERENCIA%20DE%20RIESGOS%20ASESORES%20Y%20CORREDORES%20DE%20SEGUROS/UTILIDADES/UTILIDADES%202024%20-%20GERENCIA%20DE%20RIESGO.xlsx" TargetMode="External"/><Relationship Id="rId2" Type="http://schemas.microsoft.com/office/2019/04/relationships/externalLinkLongPath" Target="/sites/FILESERVER25/Documentos%20compartidos/FILE%20PAREDESCANO%202025/09-%20RECURSOS%20HUMANOS%202025/NOMINAS%202025/01-%20NOMINA%202025/GERENCIA%20DE%20RIESGOS%20ASESORES%20Y%20CORREDORES%20DE%20SEGUROS/UTILIDADES/UTILIDADES%202024%20-%20GERENCIA%20DE%20RIESGO.xlsx?F979D046" TargetMode="External"/><Relationship Id="rId1" Type="http://schemas.openxmlformats.org/officeDocument/2006/relationships/externalLinkPath" Target="file:///\\F979D046\UTILIDADES%202024%20-%20GERENCIA%20DE%20RIESGO.xlsx" TargetMode="External"/><Relationship Id="rId4" Type="http://schemas.openxmlformats.org/officeDocument/2006/relationships/externalLinkPath" Target="../../../../../../../FILESERVER25/Documentos%20compartidos/FILE%20PAREDESCANO%202025/09-%20RECURSOS%20HUMANOS%202025/NOMINAS%202025/01-%20NOMINA%202025/GERENCIA%20DE%20RIESGOS%20ASESORES%20Y%20CORREDORES%20DE%20SEGUROS/UTILIDADES/UTILIDADES%202024%20-%20GERENCIA%20DE%20RIES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MINA\GERENCIA%20DE%20RIESGOS\2016\GRATIFICACIONES\JULIO%202016\GRATIFICACION%20JULIO%202016%20-%20GERENCIA%20DE%20RIESG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psjb-my.sharepoint.com/NOMINA/GERENCIA%20DE%20RIESGOS/2016/GRATIFICACIONES/JULIO%202016/GRATIFICACION%20JULIO%202016%20-%20GERENCIA%20DE%20RIESG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OF%20THE%20SKY\2012\DIC%2012\MOS%2012.2012\MOS%20-%2012.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RENTA 5ta"/>
      <sheetName val="INGRESOS"/>
      <sheetName val="CONSOLIDADO 2024"/>
      <sheetName val="DÍAS"/>
      <sheetName val="UTILIDADES 20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C6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TI JULIO"/>
      <sheetName val="TIPO DE CAMBIO"/>
      <sheetName val="BOLETA"/>
      <sheetName val="PRESTAMO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TI JULIO"/>
      <sheetName val="TIPO DE CAMBIO"/>
      <sheetName val="BOLETA"/>
      <sheetName val="PRESTAMO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5ta"/>
      <sheetName val="Proyección de 5ta."/>
      <sheetName val="cálculo por mes"/>
      <sheetName val="FERIADOS"/>
      <sheetName val="AFP"/>
      <sheetName val="DATA"/>
      <sheetName val="PLANI"/>
      <sheetName val="Hoja1"/>
      <sheetName val="BOLETA "/>
      <sheetName val="17-12"/>
      <sheetName val="28-12"/>
      <sheetName val="FLOTA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5780-5DFE-4D08-9007-32A369BCD7AB}">
  <dimension ref="A1:AX21"/>
  <sheetViews>
    <sheetView workbookViewId="0">
      <selection sqref="A1:XFD1048576"/>
    </sheetView>
  </sheetViews>
  <sheetFormatPr baseColWidth="10" defaultRowHeight="14.4" x14ac:dyDescent="0.3"/>
  <cols>
    <col min="1" max="1" width="5" customWidth="1"/>
    <col min="2" max="2" width="7.33203125" customWidth="1"/>
    <col min="3" max="3" width="7" customWidth="1"/>
    <col min="4" max="4" width="7.88671875" customWidth="1"/>
    <col min="5" max="5" width="11.44140625" customWidth="1"/>
    <col min="6" max="6" width="8.109375" hidden="1" customWidth="1"/>
    <col min="7" max="7" width="9.109375" hidden="1" customWidth="1"/>
    <col min="8" max="8" width="6.88671875" customWidth="1"/>
    <col min="9" max="9" width="3.33203125" customWidth="1"/>
    <col min="10" max="10" width="7.88671875" customWidth="1"/>
    <col min="11" max="21" width="8.21875" customWidth="1"/>
    <col min="22" max="22" width="7.88671875" customWidth="1"/>
    <col min="23" max="23" width="2.5546875" customWidth="1"/>
    <col min="24" max="36" width="6.77734375" style="1" customWidth="1"/>
    <col min="37" max="37" width="4" style="1" customWidth="1"/>
    <col min="38" max="50" width="6.77734375" style="1" customWidth="1"/>
  </cols>
  <sheetData>
    <row r="1" spans="1:50" ht="15" thickBot="1" x14ac:dyDescent="0.35"/>
    <row r="2" spans="1:50" ht="15" thickBot="1" x14ac:dyDescent="0.35">
      <c r="J2" s="138" t="s">
        <v>272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40"/>
      <c r="X2" s="141" t="s">
        <v>273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3"/>
      <c r="AL2" s="141" t="s">
        <v>274</v>
      </c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</row>
    <row r="3" spans="1:50" ht="14.4" customHeight="1" x14ac:dyDescent="0.3">
      <c r="H3" s="144" t="s">
        <v>275</v>
      </c>
      <c r="I3" s="144"/>
      <c r="J3" s="6">
        <v>45658</v>
      </c>
      <c r="K3" s="6">
        <v>45689</v>
      </c>
      <c r="L3" s="6">
        <v>45717</v>
      </c>
      <c r="M3" s="6">
        <v>45748</v>
      </c>
      <c r="N3" s="6">
        <v>45778</v>
      </c>
      <c r="O3" s="6">
        <v>45809</v>
      </c>
      <c r="P3" s="6">
        <v>45839</v>
      </c>
      <c r="Q3" s="6">
        <v>45870</v>
      </c>
      <c r="R3" s="6">
        <v>45901</v>
      </c>
      <c r="S3" s="6">
        <v>45931</v>
      </c>
      <c r="T3" s="6">
        <v>45962</v>
      </c>
      <c r="U3" s="6">
        <v>45992</v>
      </c>
    </row>
    <row r="4" spans="1:50" ht="14.4" customHeight="1" x14ac:dyDescent="0.3">
      <c r="H4" s="144" t="s">
        <v>276</v>
      </c>
      <c r="I4" s="144"/>
      <c r="J4" s="6">
        <v>45688</v>
      </c>
      <c r="K4" s="6">
        <v>45716</v>
      </c>
      <c r="L4" s="6">
        <v>45747</v>
      </c>
      <c r="M4" s="6">
        <v>45777</v>
      </c>
      <c r="N4" s="6">
        <v>45808</v>
      </c>
      <c r="O4" s="6">
        <v>45838</v>
      </c>
      <c r="P4" s="6">
        <v>45869</v>
      </c>
      <c r="Q4" s="6">
        <v>45900</v>
      </c>
      <c r="R4" s="6">
        <v>45930</v>
      </c>
      <c r="S4" s="6">
        <v>45961</v>
      </c>
      <c r="T4" s="6">
        <v>45991</v>
      </c>
      <c r="U4" s="6">
        <v>46022</v>
      </c>
    </row>
    <row r="5" spans="1:50" x14ac:dyDescent="0.3">
      <c r="B5" s="116" t="s">
        <v>94</v>
      </c>
      <c r="C5" s="145" t="s">
        <v>277</v>
      </c>
      <c r="D5" s="145"/>
      <c r="E5" s="145"/>
      <c r="J5" s="54" t="s">
        <v>205</v>
      </c>
      <c r="K5" s="54" t="s">
        <v>206</v>
      </c>
      <c r="L5" s="54" t="s">
        <v>207</v>
      </c>
      <c r="M5" s="54" t="s">
        <v>208</v>
      </c>
      <c r="N5" s="54" t="s">
        <v>209</v>
      </c>
      <c r="O5" s="54" t="s">
        <v>210</v>
      </c>
      <c r="P5" s="54" t="s">
        <v>211</v>
      </c>
      <c r="Q5" s="54" t="s">
        <v>212</v>
      </c>
      <c r="R5" s="54" t="s">
        <v>213</v>
      </c>
      <c r="S5" s="54" t="s">
        <v>214</v>
      </c>
      <c r="T5" s="54" t="s">
        <v>215</v>
      </c>
      <c r="U5" s="54" t="s">
        <v>216</v>
      </c>
      <c r="V5" s="55" t="s">
        <v>220</v>
      </c>
      <c r="X5" s="54" t="s">
        <v>205</v>
      </c>
      <c r="Y5" s="54" t="s">
        <v>206</v>
      </c>
      <c r="Z5" s="54" t="s">
        <v>207</v>
      </c>
      <c r="AA5" s="54" t="s">
        <v>208</v>
      </c>
      <c r="AB5" s="54" t="s">
        <v>209</v>
      </c>
      <c r="AC5" s="54" t="s">
        <v>210</v>
      </c>
      <c r="AD5" s="54" t="s">
        <v>211</v>
      </c>
      <c r="AE5" s="54" t="s">
        <v>212</v>
      </c>
      <c r="AF5" s="54" t="s">
        <v>213</v>
      </c>
      <c r="AG5" s="54" t="s">
        <v>214</v>
      </c>
      <c r="AH5" s="54" t="s">
        <v>215</v>
      </c>
      <c r="AI5" s="54" t="s">
        <v>216</v>
      </c>
      <c r="AJ5" s="55" t="s">
        <v>220</v>
      </c>
      <c r="AL5" s="54" t="s">
        <v>205</v>
      </c>
      <c r="AM5" s="54" t="s">
        <v>206</v>
      </c>
      <c r="AN5" s="54" t="s">
        <v>207</v>
      </c>
      <c r="AO5" s="54" t="s">
        <v>208</v>
      </c>
      <c r="AP5" s="54" t="s">
        <v>209</v>
      </c>
      <c r="AQ5" s="54" t="s">
        <v>210</v>
      </c>
      <c r="AR5" s="54" t="s">
        <v>211</v>
      </c>
      <c r="AS5" s="54" t="s">
        <v>212</v>
      </c>
      <c r="AT5" s="54" t="s">
        <v>213</v>
      </c>
      <c r="AU5" s="54" t="s">
        <v>214</v>
      </c>
      <c r="AV5" s="54" t="s">
        <v>215</v>
      </c>
      <c r="AW5" s="54" t="s">
        <v>216</v>
      </c>
      <c r="AX5" s="55" t="s">
        <v>220</v>
      </c>
    </row>
    <row r="6" spans="1:50" x14ac:dyDescent="0.3">
      <c r="A6" s="3" t="s">
        <v>17</v>
      </c>
      <c r="B6" s="117" t="s">
        <v>18</v>
      </c>
      <c r="C6" s="117" t="s">
        <v>19</v>
      </c>
      <c r="D6" s="117" t="s">
        <v>20</v>
      </c>
      <c r="E6" s="117" t="s">
        <v>21</v>
      </c>
      <c r="F6" s="50">
        <v>45658</v>
      </c>
      <c r="G6" s="50">
        <v>46022</v>
      </c>
      <c r="H6" s="50"/>
      <c r="J6" s="1">
        <f>NETWORKDAYS.INTL($J$3,$J$4,1,DIAS!$F$51:$J$54)</f>
        <v>22</v>
      </c>
      <c r="K6" s="1">
        <f>NETWORKDAYS.INTL($K$3,$K$4,1,DIAS!$F$51:$J$54)</f>
        <v>20</v>
      </c>
      <c r="L6" s="1">
        <f>NETWORKDAYS.INTL($L$3,$L$4,1,DIAS!$F$51:$J$54)</f>
        <v>21</v>
      </c>
      <c r="M6" s="1">
        <f>NETWORKDAYS.INTL($M$3,$M$4,1,DIAS!$F$51:$J$54)</f>
        <v>20</v>
      </c>
      <c r="N6" s="1">
        <f>NETWORKDAYS.INTL($N$3,$N$4,1, DIAS!$F$51:$J$54)</f>
        <v>21</v>
      </c>
      <c r="O6" s="1">
        <f>NETWORKDAYS.INTL($O$3,$O$4,1,DIAS!$F$51:$J$54)</f>
        <v>21</v>
      </c>
      <c r="P6" s="1">
        <f>NETWORKDAYS.INTL($P$3,$P$4,1, DIAS!$F$51:$J$54)</f>
        <v>20</v>
      </c>
      <c r="Q6" s="1">
        <f>NETWORKDAYS.INTL($Q$3,$Q$4,1,DIAS!$F$51:$J$54)</f>
        <v>20</v>
      </c>
      <c r="R6" s="1">
        <f>NETWORKDAYS.INTL($R$3,$R$4,1,DIAS!$F$51:$J$54)</f>
        <v>22</v>
      </c>
      <c r="S6" s="1">
        <f>NETWORKDAYS.INTL($S$3,$S$4,1,DIAS!$F$51:$J$54)</f>
        <v>22</v>
      </c>
      <c r="T6" s="1">
        <f>NETWORKDAYS.INTL($T$3,$T$4,1,DIAS!$F$51:$J$54)</f>
        <v>20</v>
      </c>
      <c r="U6" s="1">
        <f>NETWORKDAYS.INTL($U$3,$U$4,1,DIAS!$F$51:$J$54)</f>
        <v>20</v>
      </c>
      <c r="V6" s="113">
        <f>SUM(J6:U6)</f>
        <v>249</v>
      </c>
      <c r="X6" s="1">
        <f>SUMIFS(DIAS!$L$11:$L$47,DIAS!$A$11:$A$47,X$5,DIAS!$B$11:$B$47,$B6)</f>
        <v>20</v>
      </c>
      <c r="Y6" s="1">
        <f>SUMIFS(DIAS!$L$11:$L$47,DIAS!$A$11:$A$47,Y$5,DIAS!$B$11:$B$47,$B6)</f>
        <v>0</v>
      </c>
      <c r="Z6" s="1">
        <f>SUMIFS(DIAS!$L$11:$L$47,DIAS!$A$11:$A$47,Z$5,DIAS!$B$11:$B$47,$B6)</f>
        <v>0</v>
      </c>
      <c r="AA6" s="1">
        <f>SUMIFS(DIAS!$L$11:$L$47,DIAS!$A$11:$A$47,AA$5,DIAS!$B$11:$B$47,$B6)</f>
        <v>0</v>
      </c>
      <c r="AB6" s="1">
        <f>SUMIFS(DIAS!$L$11:$L$47,DIAS!$A$11:$A$47,AB$5,DIAS!$B$11:$B$47,$B6)</f>
        <v>0</v>
      </c>
      <c r="AC6" s="1">
        <f>SUMIFS(DIAS!$L$11:$L$47,DIAS!$A$11:$A$47,AC$5,DIAS!$B$11:$B$47,$B6)</f>
        <v>0</v>
      </c>
      <c r="AD6" s="1">
        <f>SUMIFS(DIAS!$L$11:$L$47,DIAS!$A$11:$A$47,AD$5,DIAS!$B$11:$B$47,$B6)</f>
        <v>0</v>
      </c>
      <c r="AE6" s="1">
        <f>SUMIFS(DIAS!$L$11:$L$47,DIAS!$A$11:$A$47,AE$5,DIAS!$B$11:$B$47,$B6)</f>
        <v>0</v>
      </c>
      <c r="AF6" s="1">
        <f>SUMIFS(DIAS!$L$11:$L$47,DIAS!$A$11:$A$47,AF$5,DIAS!$B$11:$B$47,$B6)</f>
        <v>0</v>
      </c>
      <c r="AG6" s="1">
        <f>SUMIFS(DIAS!$L$11:$L$47,DIAS!$A$11:$A$47,AG$5,DIAS!$B$11:$B$47,$B6)</f>
        <v>0</v>
      </c>
      <c r="AH6" s="1">
        <f>SUMIFS(DIAS!$L$11:$L$47,DIAS!$A$11:$A$47,AH$5,DIAS!$B$11:$B$47,$B6)</f>
        <v>0</v>
      </c>
      <c r="AI6" s="1">
        <f>SUMIFS(DIAS!$L$11:$L$47,DIAS!$A$11:$A$47,AI$5,DIAS!$B$11:$B$47,$B6)</f>
        <v>0</v>
      </c>
      <c r="AJ6" s="113">
        <f>SUM(X6:AI6)</f>
        <v>20</v>
      </c>
      <c r="AL6" s="1">
        <f>+J6-X6</f>
        <v>2</v>
      </c>
      <c r="AM6" s="1">
        <f t="shared" ref="AM6:AW6" si="0">+K6-Y6</f>
        <v>20</v>
      </c>
      <c r="AN6" s="1">
        <f t="shared" si="0"/>
        <v>21</v>
      </c>
      <c r="AO6" s="1">
        <f t="shared" si="0"/>
        <v>20</v>
      </c>
      <c r="AP6" s="1">
        <f t="shared" si="0"/>
        <v>21</v>
      </c>
      <c r="AQ6" s="1">
        <f t="shared" si="0"/>
        <v>21</v>
      </c>
      <c r="AR6" s="1">
        <f t="shared" si="0"/>
        <v>20</v>
      </c>
      <c r="AS6" s="1">
        <f t="shared" si="0"/>
        <v>20</v>
      </c>
      <c r="AT6" s="1">
        <f t="shared" si="0"/>
        <v>22</v>
      </c>
      <c r="AU6" s="1">
        <f t="shared" si="0"/>
        <v>22</v>
      </c>
      <c r="AV6" s="1">
        <f t="shared" si="0"/>
        <v>20</v>
      </c>
      <c r="AW6" s="1">
        <f t="shared" si="0"/>
        <v>20</v>
      </c>
      <c r="AX6" s="113">
        <f>+SUM(AL6:AW6)</f>
        <v>229</v>
      </c>
    </row>
    <row r="7" spans="1:50" x14ac:dyDescent="0.3">
      <c r="A7" s="3" t="s">
        <v>17</v>
      </c>
      <c r="B7" s="117" t="s">
        <v>33</v>
      </c>
      <c r="C7" s="117" t="s">
        <v>19</v>
      </c>
      <c r="D7" s="117" t="s">
        <v>25</v>
      </c>
      <c r="E7" s="117" t="s">
        <v>34</v>
      </c>
      <c r="F7" s="50">
        <v>45658</v>
      </c>
      <c r="G7" s="50">
        <v>46022</v>
      </c>
      <c r="H7" s="50"/>
      <c r="J7" s="1">
        <f>NETWORKDAYS.INTL($J$3,$J$4,1,DIAS!$F$51:$J$54)</f>
        <v>22</v>
      </c>
      <c r="K7" s="1">
        <f>NETWORKDAYS.INTL($K$3,$K$4,1,DIAS!$F$51:$J$54)</f>
        <v>20</v>
      </c>
      <c r="L7" s="1">
        <f>NETWORKDAYS.INTL($L$3,$L$4,1,DIAS!$F$51:$J$54)</f>
        <v>21</v>
      </c>
      <c r="M7" s="1">
        <f>NETWORKDAYS.INTL($M$3,$M$4,1,DIAS!$F$51:$J$54)</f>
        <v>20</v>
      </c>
      <c r="N7" s="1">
        <f>NETWORKDAYS.INTL($N$3,$N$4,1, DIAS!$F$51:$J$54)</f>
        <v>21</v>
      </c>
      <c r="O7" s="1">
        <f>NETWORKDAYS.INTL($O$3,$O$4,1,DIAS!$F$51:$J$54)</f>
        <v>21</v>
      </c>
      <c r="P7" s="1">
        <f>NETWORKDAYS.INTL($P$3,$P$4,1, DIAS!$F$51:$J$54)</f>
        <v>20</v>
      </c>
      <c r="Q7" s="1">
        <f>NETWORKDAYS.INTL($Q$3,$Q$4,1,DIAS!$F$51:$J$54)</f>
        <v>20</v>
      </c>
      <c r="R7" s="1">
        <f>NETWORKDAYS.INTL($R$3,$R$4,1,DIAS!$F$51:$J$54)</f>
        <v>22</v>
      </c>
      <c r="S7" s="1">
        <f>NETWORKDAYS.INTL($S$3,$S$4,1,DIAS!$F$51:$J$54)</f>
        <v>22</v>
      </c>
      <c r="T7" s="1">
        <f>NETWORKDAYS.INTL($T$3,$T$4,1,DIAS!$F$51:$J$54)</f>
        <v>20</v>
      </c>
      <c r="U7" s="1">
        <f>NETWORKDAYS.INTL($U$3,$U$4,1,DIAS!$F$51:$J$54)</f>
        <v>20</v>
      </c>
      <c r="V7" s="113">
        <f t="shared" ref="V7:V21" si="1">SUM(J7:U7)</f>
        <v>249</v>
      </c>
      <c r="X7" s="1">
        <f>SUMIFS(DIAS!$L$11:$L$47,DIAS!$A$11:$A$47,X$5,DIAS!$B$11:$B$47,$B7)</f>
        <v>0</v>
      </c>
      <c r="Y7" s="1">
        <f>SUMIFS(DIAS!$L$11:$L$47,DIAS!$A$11:$A$47,Y$5,DIAS!$B$11:$B$47,$B7)</f>
        <v>20</v>
      </c>
      <c r="Z7" s="1">
        <f>SUMIFS(DIAS!$L$11:$L$47,DIAS!$A$11:$A$47,Z$5,DIAS!$B$11:$B$47,$B7)</f>
        <v>0</v>
      </c>
      <c r="AA7" s="1">
        <f>SUMIFS(DIAS!$L$11:$L$47,DIAS!$A$11:$A$47,AA$5,DIAS!$B$11:$B$47,$B7)</f>
        <v>0</v>
      </c>
      <c r="AB7" s="1">
        <f>SUMIFS(DIAS!$L$11:$L$47,DIAS!$A$11:$A$47,AB$5,DIAS!$B$11:$B$47,$B7)</f>
        <v>0</v>
      </c>
      <c r="AC7" s="1">
        <f>SUMIFS(DIAS!$L$11:$L$47,DIAS!$A$11:$A$47,AC$5,DIAS!$B$11:$B$47,$B7)</f>
        <v>0</v>
      </c>
      <c r="AD7" s="1">
        <f>SUMIFS(DIAS!$L$11:$L$47,DIAS!$A$11:$A$47,AD$5,DIAS!$B$11:$B$47,$B7)</f>
        <v>0</v>
      </c>
      <c r="AE7" s="1">
        <f>SUMIFS(DIAS!$L$11:$L$47,DIAS!$A$11:$A$47,AE$5,DIAS!$B$11:$B$47,$B7)</f>
        <v>0</v>
      </c>
      <c r="AF7" s="1">
        <f>SUMIFS(DIAS!$L$11:$L$47,DIAS!$A$11:$A$47,AF$5,DIAS!$B$11:$B$47,$B7)</f>
        <v>0</v>
      </c>
      <c r="AG7" s="1">
        <f>SUMIFS(DIAS!$L$11:$L$47,DIAS!$A$11:$A$47,AG$5,DIAS!$B$11:$B$47,$B7)</f>
        <v>0</v>
      </c>
      <c r="AH7" s="1">
        <f>SUMIFS(DIAS!$L$11:$L$47,DIAS!$A$11:$A$47,AH$5,DIAS!$B$11:$B$47,$B7)</f>
        <v>0</v>
      </c>
      <c r="AI7" s="1">
        <f>SUMIFS(DIAS!$L$11:$L$47,DIAS!$A$11:$A$47,AI$5,DIAS!$B$11:$B$47,$B7)</f>
        <v>0</v>
      </c>
      <c r="AJ7" s="113">
        <f t="shared" ref="AJ7:AJ20" si="2">SUM(X7:AI7)</f>
        <v>20</v>
      </c>
      <c r="AL7" s="1">
        <f t="shared" ref="AL7:AL20" si="3">+J7-X7</f>
        <v>22</v>
      </c>
      <c r="AM7" s="1">
        <f t="shared" ref="AM7:AM20" si="4">+K7-Y7</f>
        <v>0</v>
      </c>
      <c r="AN7" s="1">
        <f t="shared" ref="AN7:AN20" si="5">+L7-Z7</f>
        <v>21</v>
      </c>
      <c r="AO7" s="1">
        <f t="shared" ref="AO7:AO20" si="6">+M7-AA7</f>
        <v>20</v>
      </c>
      <c r="AP7" s="1">
        <f t="shared" ref="AP7:AP20" si="7">+N7-AB7</f>
        <v>21</v>
      </c>
      <c r="AQ7" s="1">
        <f t="shared" ref="AQ7:AQ20" si="8">+O7-AC7</f>
        <v>21</v>
      </c>
      <c r="AR7" s="1">
        <f t="shared" ref="AR7:AR20" si="9">+P7-AD7</f>
        <v>20</v>
      </c>
      <c r="AS7" s="1">
        <f t="shared" ref="AS7:AS20" si="10">+Q7-AE7</f>
        <v>20</v>
      </c>
      <c r="AT7" s="1">
        <f t="shared" ref="AT7:AT20" si="11">+R7-AF7</f>
        <v>22</v>
      </c>
      <c r="AU7" s="1">
        <f t="shared" ref="AU7:AU20" si="12">+S7-AG7</f>
        <v>22</v>
      </c>
      <c r="AV7" s="1">
        <f t="shared" ref="AV7:AV20" si="13">+T7-AH7</f>
        <v>20</v>
      </c>
      <c r="AW7" s="1">
        <f t="shared" ref="AW7:AW20" si="14">+U7-AI7</f>
        <v>20</v>
      </c>
      <c r="AX7" s="113">
        <f t="shared" ref="AX7:AX20" si="15">+SUM(AL7:AW7)</f>
        <v>229</v>
      </c>
    </row>
    <row r="8" spans="1:50" x14ac:dyDescent="0.3">
      <c r="A8" s="3" t="s">
        <v>17</v>
      </c>
      <c r="B8" s="117" t="s">
        <v>24</v>
      </c>
      <c r="C8" s="117" t="s">
        <v>19</v>
      </c>
      <c r="D8" s="117" t="s">
        <v>25</v>
      </c>
      <c r="E8" s="117" t="s">
        <v>26</v>
      </c>
      <c r="F8" s="50">
        <v>45658</v>
      </c>
      <c r="G8" s="50">
        <v>46022</v>
      </c>
      <c r="H8" s="50"/>
      <c r="J8" s="1">
        <f>NETWORKDAYS.INTL($J$3,$J$4,1,DIAS!$F$51:$J$54)</f>
        <v>22</v>
      </c>
      <c r="K8" s="1">
        <f>NETWORKDAYS.INTL($K$3,$K$4,1,DIAS!$F$51:$J$54)</f>
        <v>20</v>
      </c>
      <c r="L8" s="1">
        <f>NETWORKDAYS.INTL($L$3,$L$4,1,DIAS!$F$51:$J$54)</f>
        <v>21</v>
      </c>
      <c r="M8" s="1">
        <f>NETWORKDAYS.INTL($M$3,$M$4,1,DIAS!$F$51:$J$54)</f>
        <v>20</v>
      </c>
      <c r="N8" s="1">
        <f>NETWORKDAYS.INTL($N$3,$N$4,1, DIAS!$F$51:$J$54)</f>
        <v>21</v>
      </c>
      <c r="O8" s="1">
        <f>NETWORKDAYS.INTL($O$3,$O$4,1,DIAS!$F$51:$J$54)</f>
        <v>21</v>
      </c>
      <c r="P8" s="1">
        <f>NETWORKDAYS.INTL($P$3,$P$4,1, DIAS!$F$51:$J$54)</f>
        <v>20</v>
      </c>
      <c r="Q8" s="1">
        <f>NETWORKDAYS.INTL($Q$3,$Q$4,1,DIAS!$F$51:$J$54)</f>
        <v>20</v>
      </c>
      <c r="R8" s="1">
        <f>NETWORKDAYS.INTL($R$3,$R$4,1,DIAS!$F$51:$J$54)</f>
        <v>22</v>
      </c>
      <c r="S8" s="1">
        <f>NETWORKDAYS.INTL($S$3,$S$4,1,DIAS!$F$51:$J$54)</f>
        <v>22</v>
      </c>
      <c r="T8" s="1">
        <f>NETWORKDAYS.INTL($T$3,$T$4,1,DIAS!$F$51:$J$54)</f>
        <v>20</v>
      </c>
      <c r="U8" s="1">
        <f>NETWORKDAYS.INTL($U$3,$U$4,1,DIAS!$F$51:$J$54)</f>
        <v>20</v>
      </c>
      <c r="V8" s="113">
        <f t="shared" si="1"/>
        <v>249</v>
      </c>
      <c r="X8" s="1">
        <f>SUMIFS(DIAS!$L$11:$L$47,DIAS!$A$11:$A$47,X$5,DIAS!$B$11:$B$47,$B8)</f>
        <v>20</v>
      </c>
      <c r="Y8" s="1">
        <f>SUMIFS(DIAS!$L$11:$L$47,DIAS!$A$11:$A$47,Y$5,DIAS!$B$11:$B$47,$B8)</f>
        <v>0</v>
      </c>
      <c r="Z8" s="1">
        <f>SUMIFS(DIAS!$L$11:$L$47,DIAS!$A$11:$A$47,Z$5,DIAS!$B$11:$B$47,$B8)</f>
        <v>0</v>
      </c>
      <c r="AA8" s="1">
        <f>SUMIFS(DIAS!$L$11:$L$47,DIAS!$A$11:$A$47,AA$5,DIAS!$B$11:$B$47,$B8)</f>
        <v>0</v>
      </c>
      <c r="AB8" s="1">
        <f>SUMIFS(DIAS!$L$11:$L$47,DIAS!$A$11:$A$47,AB$5,DIAS!$B$11:$B$47,$B8)</f>
        <v>0</v>
      </c>
      <c r="AC8" s="1">
        <f>SUMIFS(DIAS!$L$11:$L$47,DIAS!$A$11:$A$47,AC$5,DIAS!$B$11:$B$47,$B8)</f>
        <v>0</v>
      </c>
      <c r="AD8" s="1">
        <f>SUMIFS(DIAS!$L$11:$L$47,DIAS!$A$11:$A$47,AD$5,DIAS!$B$11:$B$47,$B8)</f>
        <v>0</v>
      </c>
      <c r="AE8" s="1">
        <f>SUMIFS(DIAS!$L$11:$L$47,DIAS!$A$11:$A$47,AE$5,DIAS!$B$11:$B$47,$B8)</f>
        <v>0</v>
      </c>
      <c r="AF8" s="1">
        <f>SUMIFS(DIAS!$L$11:$L$47,DIAS!$A$11:$A$47,AF$5,DIAS!$B$11:$B$47,$B8)</f>
        <v>0</v>
      </c>
      <c r="AG8" s="1">
        <f>SUMIFS(DIAS!$L$11:$L$47,DIAS!$A$11:$A$47,AG$5,DIAS!$B$11:$B$47,$B8)</f>
        <v>0</v>
      </c>
      <c r="AH8" s="1">
        <f>SUMIFS(DIAS!$L$11:$L$47,DIAS!$A$11:$A$47,AH$5,DIAS!$B$11:$B$47,$B8)</f>
        <v>0</v>
      </c>
      <c r="AI8" s="1">
        <f>SUMIFS(DIAS!$L$11:$L$47,DIAS!$A$11:$A$47,AI$5,DIAS!$B$11:$B$47,$B8)</f>
        <v>0</v>
      </c>
      <c r="AJ8" s="113">
        <f t="shared" si="2"/>
        <v>20</v>
      </c>
      <c r="AL8" s="1">
        <f t="shared" si="3"/>
        <v>2</v>
      </c>
      <c r="AM8" s="1">
        <f t="shared" si="4"/>
        <v>20</v>
      </c>
      <c r="AN8" s="1">
        <f t="shared" si="5"/>
        <v>21</v>
      </c>
      <c r="AO8" s="1">
        <f t="shared" si="6"/>
        <v>20</v>
      </c>
      <c r="AP8" s="1">
        <f t="shared" si="7"/>
        <v>21</v>
      </c>
      <c r="AQ8" s="1">
        <f t="shared" si="8"/>
        <v>21</v>
      </c>
      <c r="AR8" s="1">
        <f t="shared" si="9"/>
        <v>20</v>
      </c>
      <c r="AS8" s="1">
        <f t="shared" si="10"/>
        <v>20</v>
      </c>
      <c r="AT8" s="1">
        <f t="shared" si="11"/>
        <v>22</v>
      </c>
      <c r="AU8" s="1">
        <f t="shared" si="12"/>
        <v>22</v>
      </c>
      <c r="AV8" s="1">
        <f t="shared" si="13"/>
        <v>20</v>
      </c>
      <c r="AW8" s="1">
        <f t="shared" si="14"/>
        <v>20</v>
      </c>
      <c r="AX8" s="113">
        <f t="shared" si="15"/>
        <v>229</v>
      </c>
    </row>
    <row r="9" spans="1:50" x14ac:dyDescent="0.3">
      <c r="A9" s="3" t="s">
        <v>17</v>
      </c>
      <c r="B9" s="117" t="s">
        <v>55</v>
      </c>
      <c r="C9" s="117" t="s">
        <v>56</v>
      </c>
      <c r="D9" s="117" t="s">
        <v>28</v>
      </c>
      <c r="E9" s="117" t="s">
        <v>57</v>
      </c>
      <c r="F9" s="50">
        <v>45658</v>
      </c>
      <c r="G9" s="50">
        <v>46022</v>
      </c>
      <c r="H9" s="50"/>
      <c r="J9" s="1">
        <f>NETWORKDAYS.INTL($J$3,$J$4,1,DIAS!$F$51:$J$54)</f>
        <v>22</v>
      </c>
      <c r="K9" s="1">
        <f>NETWORKDAYS.INTL($K$3,$K$4,1,DIAS!$F$51:$J$54)</f>
        <v>20</v>
      </c>
      <c r="L9" s="1">
        <f>NETWORKDAYS.INTL($L$3,$L$4,1,DIAS!$F$51:$J$54)</f>
        <v>21</v>
      </c>
      <c r="M9" s="1">
        <f>NETWORKDAYS.INTL($M$3,$M$4,1,DIAS!$F$51:$J$54)</f>
        <v>20</v>
      </c>
      <c r="N9" s="1">
        <f>NETWORKDAYS.INTL($N$3,$N$4,1, DIAS!$F$51:$J$54)</f>
        <v>21</v>
      </c>
      <c r="O9" s="1">
        <f>NETWORKDAYS.INTL($O$3,$O$4,1,DIAS!$F$51:$J$54)</f>
        <v>21</v>
      </c>
      <c r="P9" s="1">
        <f>NETWORKDAYS.INTL($P$3,$P$4,1, DIAS!$F$51:$J$54)</f>
        <v>20</v>
      </c>
      <c r="Q9" s="1">
        <f>NETWORKDAYS.INTL($Q$3,$Q$4,1,DIAS!$F$51:$J$54)</f>
        <v>20</v>
      </c>
      <c r="R9" s="1">
        <f>NETWORKDAYS.INTL($R$3,$R$4,1,DIAS!$F$51:$J$54)</f>
        <v>22</v>
      </c>
      <c r="S9" s="1">
        <f>NETWORKDAYS.INTL($S$3,$S$4,1,DIAS!$F$51:$J$54)</f>
        <v>22</v>
      </c>
      <c r="T9" s="1">
        <f>NETWORKDAYS.INTL($T$3,$T$4,1,DIAS!$F$51:$J$54)</f>
        <v>20</v>
      </c>
      <c r="U9" s="1">
        <f>NETWORKDAYS.INTL($U$3,$U$4,1,DIAS!$F$51:$J$54)</f>
        <v>20</v>
      </c>
      <c r="V9" s="113">
        <f t="shared" si="1"/>
        <v>249</v>
      </c>
      <c r="X9" s="1">
        <f>SUMIFS(DIAS!$L$11:$L$47,DIAS!$A$11:$A$47,X$5,DIAS!$B$11:$B$47,$B9)</f>
        <v>0</v>
      </c>
      <c r="Y9" s="1">
        <f>SUMIFS(DIAS!$L$11:$L$47,DIAS!$A$11:$A$47,Y$5,DIAS!$B$11:$B$47,$B9)</f>
        <v>0</v>
      </c>
      <c r="Z9" s="1">
        <f>SUMIFS(DIAS!$L$11:$L$47,DIAS!$A$11:$A$47,Z$5,DIAS!$B$11:$B$47,$B9)</f>
        <v>0</v>
      </c>
      <c r="AA9" s="1">
        <f>SUMIFS(DIAS!$L$11:$L$47,DIAS!$A$11:$A$47,AA$5,DIAS!$B$11:$B$47,$B9)</f>
        <v>18</v>
      </c>
      <c r="AB9" s="1">
        <f>SUMIFS(DIAS!$L$11:$L$47,DIAS!$A$11:$A$47,AB$5,DIAS!$B$11:$B$47,$B9)</f>
        <v>0</v>
      </c>
      <c r="AC9" s="1">
        <f>SUMIFS(DIAS!$L$11:$L$47,DIAS!$A$11:$A$47,AC$5,DIAS!$B$11:$B$47,$B9)</f>
        <v>0</v>
      </c>
      <c r="AD9" s="1">
        <f>SUMIFS(DIAS!$L$11:$L$47,DIAS!$A$11:$A$47,AD$5,DIAS!$B$11:$B$47,$B9)</f>
        <v>0</v>
      </c>
      <c r="AE9" s="1">
        <f>SUMIFS(DIAS!$L$11:$L$47,DIAS!$A$11:$A$47,AE$5,DIAS!$B$11:$B$47,$B9)</f>
        <v>0</v>
      </c>
      <c r="AF9" s="1">
        <f>SUMIFS(DIAS!$L$11:$L$47,DIAS!$A$11:$A$47,AF$5,DIAS!$B$11:$B$47,$B9)</f>
        <v>0</v>
      </c>
      <c r="AG9" s="1">
        <f>SUMIFS(DIAS!$L$11:$L$47,DIAS!$A$11:$A$47,AG$5,DIAS!$B$11:$B$47,$B9)</f>
        <v>0</v>
      </c>
      <c r="AH9" s="1">
        <f>SUMIFS(DIAS!$L$11:$L$47,DIAS!$A$11:$A$47,AH$5,DIAS!$B$11:$B$47,$B9)</f>
        <v>0</v>
      </c>
      <c r="AI9" s="1">
        <f>SUMIFS(DIAS!$L$11:$L$47,DIAS!$A$11:$A$47,AI$5,DIAS!$B$11:$B$47,$B9)</f>
        <v>0</v>
      </c>
      <c r="AJ9" s="113">
        <f t="shared" si="2"/>
        <v>18</v>
      </c>
      <c r="AL9" s="1">
        <f t="shared" si="3"/>
        <v>22</v>
      </c>
      <c r="AM9" s="1">
        <f t="shared" si="4"/>
        <v>20</v>
      </c>
      <c r="AN9" s="1">
        <f t="shared" si="5"/>
        <v>21</v>
      </c>
      <c r="AO9" s="1">
        <f t="shared" si="6"/>
        <v>2</v>
      </c>
      <c r="AP9" s="1">
        <f t="shared" si="7"/>
        <v>21</v>
      </c>
      <c r="AQ9" s="1">
        <f t="shared" si="8"/>
        <v>21</v>
      </c>
      <c r="AR9" s="1">
        <f t="shared" si="9"/>
        <v>20</v>
      </c>
      <c r="AS9" s="1">
        <f t="shared" si="10"/>
        <v>20</v>
      </c>
      <c r="AT9" s="1">
        <f t="shared" si="11"/>
        <v>22</v>
      </c>
      <c r="AU9" s="1">
        <f t="shared" si="12"/>
        <v>22</v>
      </c>
      <c r="AV9" s="1">
        <f t="shared" si="13"/>
        <v>20</v>
      </c>
      <c r="AW9" s="1">
        <f t="shared" si="14"/>
        <v>20</v>
      </c>
      <c r="AX9" s="113">
        <f t="shared" si="15"/>
        <v>231</v>
      </c>
    </row>
    <row r="10" spans="1:50" x14ac:dyDescent="0.3">
      <c r="A10" s="3" t="s">
        <v>17</v>
      </c>
      <c r="B10" s="117" t="s">
        <v>47</v>
      </c>
      <c r="C10" s="117" t="s">
        <v>48</v>
      </c>
      <c r="D10" s="117" t="s">
        <v>49</v>
      </c>
      <c r="E10" s="117" t="s">
        <v>50</v>
      </c>
      <c r="F10" s="50">
        <v>45658</v>
      </c>
      <c r="G10" s="50">
        <v>46022</v>
      </c>
      <c r="H10" s="50"/>
      <c r="J10" s="1">
        <f>NETWORKDAYS.INTL($J$3,$J$4,1,DIAS!$F$51:$J$54)</f>
        <v>22</v>
      </c>
      <c r="K10" s="1">
        <f>NETWORKDAYS.INTL($K$3,$K$4,1,DIAS!$F$51:$J$54)</f>
        <v>20</v>
      </c>
      <c r="L10" s="1">
        <f>NETWORKDAYS.INTL($L$3,$L$4,1,DIAS!$F$51:$J$54)</f>
        <v>21</v>
      </c>
      <c r="M10" s="1">
        <f>NETWORKDAYS.INTL($M$3,$M$4,1,DIAS!$F$51:$J$54)</f>
        <v>20</v>
      </c>
      <c r="N10" s="1">
        <f>NETWORKDAYS.INTL($N$3,$N$4,1, DIAS!$F$51:$J$54)</f>
        <v>21</v>
      </c>
      <c r="O10" s="1">
        <f>NETWORKDAYS.INTL($O$3,$O$4,1,DIAS!$F$51:$J$54)</f>
        <v>21</v>
      </c>
      <c r="P10" s="1">
        <f>NETWORKDAYS.INTL($P$3,$P$4,1, DIAS!$F$51:$J$54)</f>
        <v>20</v>
      </c>
      <c r="Q10" s="1">
        <f>NETWORKDAYS.INTL($Q$3,$Q$4,1,DIAS!$F$51:$J$54)</f>
        <v>20</v>
      </c>
      <c r="R10" s="1">
        <f>NETWORKDAYS.INTL($R$3,$R$4,1,DIAS!$F$51:$J$54)</f>
        <v>22</v>
      </c>
      <c r="S10" s="1">
        <f>NETWORKDAYS.INTL($S$3,$S$4,1,DIAS!$F$51:$J$54)</f>
        <v>22</v>
      </c>
      <c r="T10" s="1">
        <f>NETWORKDAYS.INTL($T$3,$T$4,1,DIAS!$F$51:$J$54)</f>
        <v>20</v>
      </c>
      <c r="U10" s="1">
        <f>NETWORKDAYS.INTL($U$3,$U$4,1,DIAS!$F$51:$J$54)</f>
        <v>20</v>
      </c>
      <c r="V10" s="113">
        <f t="shared" si="1"/>
        <v>249</v>
      </c>
      <c r="X10" s="1">
        <f>SUMIFS(DIAS!$L$11:$L$47,DIAS!$A$11:$A$47,X$5,DIAS!$B$11:$B$47,$B10)</f>
        <v>0</v>
      </c>
      <c r="Y10" s="1">
        <f>SUMIFS(DIAS!$L$11:$L$47,DIAS!$A$11:$A$47,Y$5,DIAS!$B$11:$B$47,$B10)</f>
        <v>0</v>
      </c>
      <c r="Z10" s="1">
        <f>SUMIFS(DIAS!$L$11:$L$47,DIAS!$A$11:$A$47,Z$5,DIAS!$B$11:$B$47,$B10)</f>
        <v>20</v>
      </c>
      <c r="AA10" s="1">
        <f>SUMIFS(DIAS!$L$11:$L$47,DIAS!$A$11:$A$47,AA$5,DIAS!$B$11:$B$47,$B10)</f>
        <v>0</v>
      </c>
      <c r="AB10" s="1">
        <f>SUMIFS(DIAS!$L$11:$L$47,DIAS!$A$11:$A$47,AB$5,DIAS!$B$11:$B$47,$B10)</f>
        <v>0</v>
      </c>
      <c r="AC10" s="1">
        <f>SUMIFS(DIAS!$L$11:$L$47,DIAS!$A$11:$A$47,AC$5,DIAS!$B$11:$B$47,$B10)</f>
        <v>0</v>
      </c>
      <c r="AD10" s="1">
        <f>SUMIFS(DIAS!$L$11:$L$47,DIAS!$A$11:$A$47,AD$5,DIAS!$B$11:$B$47,$B10)</f>
        <v>0</v>
      </c>
      <c r="AE10" s="1">
        <f>SUMIFS(DIAS!$L$11:$L$47,DIAS!$A$11:$A$47,AE$5,DIAS!$B$11:$B$47,$B10)</f>
        <v>0</v>
      </c>
      <c r="AF10" s="1">
        <f>SUMIFS(DIAS!$L$11:$L$47,DIAS!$A$11:$A$47,AF$5,DIAS!$B$11:$B$47,$B10)</f>
        <v>0</v>
      </c>
      <c r="AG10" s="1">
        <f>SUMIFS(DIAS!$L$11:$L$47,DIAS!$A$11:$A$47,AG$5,DIAS!$B$11:$B$47,$B10)</f>
        <v>0</v>
      </c>
      <c r="AH10" s="1">
        <f>SUMIFS(DIAS!$L$11:$L$47,DIAS!$A$11:$A$47,AH$5,DIAS!$B$11:$B$47,$B10)</f>
        <v>0</v>
      </c>
      <c r="AI10" s="1">
        <f>SUMIFS(DIAS!$L$11:$L$47,DIAS!$A$11:$A$47,AI$5,DIAS!$B$11:$B$47,$B10)</f>
        <v>0</v>
      </c>
      <c r="AJ10" s="113">
        <f t="shared" si="2"/>
        <v>20</v>
      </c>
      <c r="AL10" s="1">
        <f t="shared" si="3"/>
        <v>22</v>
      </c>
      <c r="AM10" s="1">
        <f t="shared" si="4"/>
        <v>20</v>
      </c>
      <c r="AN10" s="1">
        <f t="shared" si="5"/>
        <v>1</v>
      </c>
      <c r="AO10" s="1">
        <f t="shared" si="6"/>
        <v>20</v>
      </c>
      <c r="AP10" s="1">
        <f t="shared" si="7"/>
        <v>21</v>
      </c>
      <c r="AQ10" s="1">
        <f t="shared" si="8"/>
        <v>21</v>
      </c>
      <c r="AR10" s="1">
        <f t="shared" si="9"/>
        <v>20</v>
      </c>
      <c r="AS10" s="1">
        <f t="shared" si="10"/>
        <v>20</v>
      </c>
      <c r="AT10" s="1">
        <f t="shared" si="11"/>
        <v>22</v>
      </c>
      <c r="AU10" s="1">
        <f t="shared" si="12"/>
        <v>22</v>
      </c>
      <c r="AV10" s="1">
        <f t="shared" si="13"/>
        <v>20</v>
      </c>
      <c r="AW10" s="1">
        <f t="shared" si="14"/>
        <v>20</v>
      </c>
      <c r="AX10" s="113">
        <f t="shared" si="15"/>
        <v>229</v>
      </c>
    </row>
    <row r="11" spans="1:50" x14ac:dyDescent="0.3">
      <c r="A11" s="3" t="s">
        <v>17</v>
      </c>
      <c r="B11" s="117" t="s">
        <v>58</v>
      </c>
      <c r="C11" s="117" t="s">
        <v>49</v>
      </c>
      <c r="D11" s="117" t="s">
        <v>59</v>
      </c>
      <c r="E11" s="117" t="s">
        <v>60</v>
      </c>
      <c r="F11" s="50">
        <v>45658</v>
      </c>
      <c r="G11" s="50">
        <v>46022</v>
      </c>
      <c r="H11" s="50"/>
      <c r="J11" s="1">
        <f>NETWORKDAYS.INTL($J$3,$J$4,1,DIAS!$F$51:$J$54)</f>
        <v>22</v>
      </c>
      <c r="K11" s="1">
        <f>NETWORKDAYS.INTL($K$3,$K$4,1,DIAS!$F$51:$J$54)</f>
        <v>20</v>
      </c>
      <c r="L11" s="1">
        <f>NETWORKDAYS.INTL($L$3,$L$4,1,DIAS!$F$51:$J$54)</f>
        <v>21</v>
      </c>
      <c r="M11" s="1">
        <f>NETWORKDAYS.INTL($M$3,$M$4,1,DIAS!$F$51:$J$54)</f>
        <v>20</v>
      </c>
      <c r="N11" s="1">
        <f>NETWORKDAYS.INTL($N$3,$N$4,1, DIAS!$F$51:$J$54)</f>
        <v>21</v>
      </c>
      <c r="O11" s="1">
        <f>NETWORKDAYS.INTL($O$3,$O$4,1,DIAS!$F$51:$J$54)</f>
        <v>21</v>
      </c>
      <c r="P11" s="1">
        <f>NETWORKDAYS.INTL($P$3,$P$4,1, DIAS!$F$51:$J$54)</f>
        <v>20</v>
      </c>
      <c r="Q11" s="1">
        <f>NETWORKDAYS.INTL($Q$3,$Q$4,1,DIAS!$F$51:$J$54)</f>
        <v>20</v>
      </c>
      <c r="R11" s="1">
        <f>NETWORKDAYS.INTL($R$3,$R$4,1,DIAS!$F$51:$J$54)</f>
        <v>22</v>
      </c>
      <c r="S11" s="1">
        <f>NETWORKDAYS.INTL($S$3,$S$4,1,DIAS!$F$51:$J$54)</f>
        <v>22</v>
      </c>
      <c r="T11" s="1">
        <f>NETWORKDAYS.INTL($T$3,$T$4,1,DIAS!$F$51:$J$54)</f>
        <v>20</v>
      </c>
      <c r="U11" s="1">
        <f>NETWORKDAYS.INTL($U$3,$U$4,1,DIAS!$F$51:$J$54)</f>
        <v>20</v>
      </c>
      <c r="V11" s="113">
        <f t="shared" si="1"/>
        <v>249</v>
      </c>
      <c r="X11" s="1">
        <f>SUMIFS(DIAS!$L$11:$L$47,DIAS!$A$11:$A$47,X$5,DIAS!$B$11:$B$47,$B11)</f>
        <v>0</v>
      </c>
      <c r="Y11" s="1">
        <f>SUMIFS(DIAS!$L$11:$L$47,DIAS!$A$11:$A$47,Y$5,DIAS!$B$11:$B$47,$B11)</f>
        <v>0</v>
      </c>
      <c r="Z11" s="1">
        <f>SUMIFS(DIAS!$L$11:$L$47,DIAS!$A$11:$A$47,Z$5,DIAS!$B$11:$B$47,$B11)</f>
        <v>0</v>
      </c>
      <c r="AA11" s="1">
        <f>SUMIFS(DIAS!$L$11:$L$47,DIAS!$A$11:$A$47,AA$5,DIAS!$B$11:$B$47,$B11)</f>
        <v>2</v>
      </c>
      <c r="AB11" s="1">
        <f>SUMIFS(DIAS!$L$11:$L$47,DIAS!$A$11:$A$47,AB$5,DIAS!$B$11:$B$47,$B11)</f>
        <v>0</v>
      </c>
      <c r="AC11" s="1">
        <f>SUMIFS(DIAS!$L$11:$L$47,DIAS!$A$11:$A$47,AC$5,DIAS!$B$11:$B$47,$B11)</f>
        <v>0</v>
      </c>
      <c r="AD11" s="1">
        <f>SUMIFS(DIAS!$L$11:$L$47,DIAS!$A$11:$A$47,AD$5,DIAS!$B$11:$B$47,$B11)</f>
        <v>1</v>
      </c>
      <c r="AE11" s="1">
        <f>SUMIFS(DIAS!$L$11:$L$47,DIAS!$A$11:$A$47,AE$5,DIAS!$B$11:$B$47,$B11)</f>
        <v>2</v>
      </c>
      <c r="AF11" s="1">
        <f>SUMIFS(DIAS!$L$11:$L$47,DIAS!$A$11:$A$47,AF$5,DIAS!$B$11:$B$47,$B11)</f>
        <v>10</v>
      </c>
      <c r="AG11" s="1">
        <f>SUMIFS(DIAS!$L$11:$L$47,DIAS!$A$11:$A$47,AG$5,DIAS!$B$11:$B$47,$B11)</f>
        <v>0</v>
      </c>
      <c r="AH11" s="1">
        <f>SUMIFS(DIAS!$L$11:$L$47,DIAS!$A$11:$A$47,AH$5,DIAS!$B$11:$B$47,$B11)</f>
        <v>0</v>
      </c>
      <c r="AI11" s="1">
        <f>SUMIFS(DIAS!$L$11:$L$47,DIAS!$A$11:$A$47,AI$5,DIAS!$B$11:$B$47,$B11)</f>
        <v>0</v>
      </c>
      <c r="AJ11" s="113">
        <f t="shared" si="2"/>
        <v>15</v>
      </c>
      <c r="AL11" s="1">
        <f t="shared" si="3"/>
        <v>22</v>
      </c>
      <c r="AM11" s="1">
        <f t="shared" si="4"/>
        <v>20</v>
      </c>
      <c r="AN11" s="1">
        <f t="shared" si="5"/>
        <v>21</v>
      </c>
      <c r="AO11" s="1">
        <f t="shared" si="6"/>
        <v>18</v>
      </c>
      <c r="AP11" s="1">
        <f t="shared" si="7"/>
        <v>21</v>
      </c>
      <c r="AQ11" s="1">
        <f t="shared" si="8"/>
        <v>21</v>
      </c>
      <c r="AR11" s="1">
        <f t="shared" si="9"/>
        <v>19</v>
      </c>
      <c r="AS11" s="1">
        <f t="shared" si="10"/>
        <v>18</v>
      </c>
      <c r="AT11" s="1">
        <f t="shared" si="11"/>
        <v>12</v>
      </c>
      <c r="AU11" s="1">
        <f t="shared" si="12"/>
        <v>22</v>
      </c>
      <c r="AV11" s="1">
        <f t="shared" si="13"/>
        <v>20</v>
      </c>
      <c r="AW11" s="1">
        <f t="shared" si="14"/>
        <v>20</v>
      </c>
      <c r="AX11" s="113">
        <f t="shared" si="15"/>
        <v>234</v>
      </c>
    </row>
    <row r="12" spans="1:50" x14ac:dyDescent="0.3">
      <c r="A12" s="3" t="s">
        <v>17</v>
      </c>
      <c r="B12" s="117" t="s">
        <v>35</v>
      </c>
      <c r="C12" s="117" t="s">
        <v>36</v>
      </c>
      <c r="D12" s="117" t="s">
        <v>37</v>
      </c>
      <c r="E12" s="117" t="s">
        <v>38</v>
      </c>
      <c r="F12" s="50">
        <v>45658</v>
      </c>
      <c r="G12" s="50">
        <v>46022</v>
      </c>
      <c r="H12" s="50"/>
      <c r="J12" s="1">
        <f>NETWORKDAYS.INTL($J$3,$J$4,1,DIAS!$F$51:$J$54)</f>
        <v>22</v>
      </c>
      <c r="K12" s="1">
        <f>NETWORKDAYS.INTL($K$3,$K$4,1,DIAS!$F$51:$J$54)</f>
        <v>20</v>
      </c>
      <c r="L12" s="1">
        <f>NETWORKDAYS.INTL($L$3,$L$4,1,DIAS!$F$51:$J$54)</f>
        <v>21</v>
      </c>
      <c r="M12" s="1">
        <f>NETWORKDAYS.INTL($M$3,$M$4,1,DIAS!$F$51:$J$54)</f>
        <v>20</v>
      </c>
      <c r="N12" s="1">
        <f>NETWORKDAYS.INTL($N$3,$N$4,1, DIAS!$F$51:$J$54)</f>
        <v>21</v>
      </c>
      <c r="O12" s="1">
        <f>NETWORKDAYS.INTL($O$3,$O$4,1,DIAS!$F$51:$J$54)</f>
        <v>21</v>
      </c>
      <c r="P12" s="1">
        <f>NETWORKDAYS.INTL($P$3,$P$4,1, DIAS!$F$51:$J$54)</f>
        <v>20</v>
      </c>
      <c r="Q12" s="1">
        <f>NETWORKDAYS.INTL($Q$3,$Q$4,1,DIAS!$F$51:$J$54)</f>
        <v>20</v>
      </c>
      <c r="R12" s="1">
        <f>NETWORKDAYS.INTL($R$3,$R$4,1,DIAS!$F$51:$J$54)</f>
        <v>22</v>
      </c>
      <c r="S12" s="1">
        <f>NETWORKDAYS.INTL($S$3,$S$4,1,DIAS!$F$51:$J$54)</f>
        <v>22</v>
      </c>
      <c r="T12" s="1">
        <f>NETWORKDAYS.INTL($T$3,$T$4,1,DIAS!$F$51:$J$54)</f>
        <v>20</v>
      </c>
      <c r="U12" s="1">
        <f>NETWORKDAYS.INTL($U$3,$U$4,1,DIAS!$F$51:$J$54)</f>
        <v>20</v>
      </c>
      <c r="V12" s="113">
        <f t="shared" si="1"/>
        <v>249</v>
      </c>
      <c r="X12" s="1">
        <f>SUMIFS(DIAS!$L$11:$L$47,DIAS!$A$11:$A$47,X$5,DIAS!$B$11:$B$47,$B12)</f>
        <v>0</v>
      </c>
      <c r="Y12" s="1">
        <f>SUMIFS(DIAS!$L$11:$L$47,DIAS!$A$11:$A$47,Y$5,DIAS!$B$11:$B$47,$B12)</f>
        <v>1</v>
      </c>
      <c r="Z12" s="1">
        <f>SUMIFS(DIAS!$L$11:$L$47,DIAS!$A$11:$A$47,Z$5,DIAS!$B$11:$B$47,$B12)</f>
        <v>0</v>
      </c>
      <c r="AA12" s="1">
        <f>SUMIFS(DIAS!$L$11:$L$47,DIAS!$A$11:$A$47,AA$5,DIAS!$B$11:$B$47,$B12)</f>
        <v>0</v>
      </c>
      <c r="AB12" s="1">
        <f>SUMIFS(DIAS!$L$11:$L$47,DIAS!$A$11:$A$47,AB$5,DIAS!$B$11:$B$47,$B12)</f>
        <v>0</v>
      </c>
      <c r="AC12" s="1">
        <f>SUMIFS(DIAS!$L$11:$L$47,DIAS!$A$11:$A$47,AC$5,DIAS!$B$11:$B$47,$B12)</f>
        <v>0</v>
      </c>
      <c r="AD12" s="1">
        <f>SUMIFS(DIAS!$L$11:$L$47,DIAS!$A$11:$A$47,AD$5,DIAS!$B$11:$B$47,$B12)</f>
        <v>18</v>
      </c>
      <c r="AE12" s="1">
        <f>SUMIFS(DIAS!$L$11:$L$47,DIAS!$A$11:$A$47,AE$5,DIAS!$B$11:$B$47,$B12)</f>
        <v>0</v>
      </c>
      <c r="AF12" s="1">
        <f>SUMIFS(DIAS!$L$11:$L$47,DIAS!$A$11:$A$47,AF$5,DIAS!$B$11:$B$47,$B12)</f>
        <v>0</v>
      </c>
      <c r="AG12" s="1">
        <f>SUMIFS(DIAS!$L$11:$L$47,DIAS!$A$11:$A$47,AG$5,DIAS!$B$11:$B$47,$B12)</f>
        <v>0</v>
      </c>
      <c r="AH12" s="1">
        <f>SUMIFS(DIAS!$L$11:$L$47,DIAS!$A$11:$A$47,AH$5,DIAS!$B$11:$B$47,$B12)</f>
        <v>0</v>
      </c>
      <c r="AI12" s="1">
        <f>SUMIFS(DIAS!$L$11:$L$47,DIAS!$A$11:$A$47,AI$5,DIAS!$B$11:$B$47,$B12)</f>
        <v>5</v>
      </c>
      <c r="AJ12" s="113">
        <f t="shared" si="2"/>
        <v>24</v>
      </c>
      <c r="AL12" s="1">
        <f t="shared" si="3"/>
        <v>22</v>
      </c>
      <c r="AM12" s="1">
        <f t="shared" si="4"/>
        <v>19</v>
      </c>
      <c r="AN12" s="1">
        <f t="shared" si="5"/>
        <v>21</v>
      </c>
      <c r="AO12" s="1">
        <f t="shared" si="6"/>
        <v>20</v>
      </c>
      <c r="AP12" s="1">
        <f t="shared" si="7"/>
        <v>21</v>
      </c>
      <c r="AQ12" s="1">
        <f t="shared" si="8"/>
        <v>21</v>
      </c>
      <c r="AR12" s="1">
        <f t="shared" si="9"/>
        <v>2</v>
      </c>
      <c r="AS12" s="1">
        <f t="shared" si="10"/>
        <v>20</v>
      </c>
      <c r="AT12" s="1">
        <f t="shared" si="11"/>
        <v>22</v>
      </c>
      <c r="AU12" s="1">
        <f t="shared" si="12"/>
        <v>22</v>
      </c>
      <c r="AV12" s="1">
        <f t="shared" si="13"/>
        <v>20</v>
      </c>
      <c r="AW12" s="1">
        <f t="shared" si="14"/>
        <v>15</v>
      </c>
      <c r="AX12" s="113">
        <f t="shared" si="15"/>
        <v>225</v>
      </c>
    </row>
    <row r="13" spans="1:50" x14ac:dyDescent="0.3">
      <c r="A13" s="3" t="s">
        <v>17</v>
      </c>
      <c r="B13" s="117" t="s">
        <v>27</v>
      </c>
      <c r="C13" s="117" t="s">
        <v>28</v>
      </c>
      <c r="D13" s="117" t="s">
        <v>29</v>
      </c>
      <c r="E13" s="117" t="s">
        <v>30</v>
      </c>
      <c r="F13" s="50">
        <v>45658</v>
      </c>
      <c r="G13" s="50">
        <v>46022</v>
      </c>
      <c r="H13" s="50"/>
      <c r="J13" s="1">
        <f>NETWORKDAYS.INTL($J$3,$J$4,1,DIAS!$F$51:$J$54)</f>
        <v>22</v>
      </c>
      <c r="K13" s="1">
        <f>NETWORKDAYS.INTL($K$3,$K$4,1,DIAS!$F$51:$J$54)</f>
        <v>20</v>
      </c>
      <c r="L13" s="1">
        <f>NETWORKDAYS.INTL($L$3,$L$4,1,DIAS!$F$51:$J$54)</f>
        <v>21</v>
      </c>
      <c r="M13" s="1">
        <f>NETWORKDAYS.INTL($M$3,$M$4,1,DIAS!$F$51:$J$54)</f>
        <v>20</v>
      </c>
      <c r="N13" s="1">
        <f>NETWORKDAYS.INTL($N$3,$N$4,1, DIAS!$F$51:$J$54)</f>
        <v>21</v>
      </c>
      <c r="O13" s="1">
        <f>NETWORKDAYS.INTL($O$3,$O$4,1,DIAS!$F$51:$J$54)</f>
        <v>21</v>
      </c>
      <c r="P13" s="1">
        <f>NETWORKDAYS.INTL($P$3,$P$4,1, DIAS!$F$51:$J$54)</f>
        <v>20</v>
      </c>
      <c r="Q13" s="1">
        <f>NETWORKDAYS.INTL($Q$3,$Q$4,1,DIAS!$F$51:$J$54)</f>
        <v>20</v>
      </c>
      <c r="R13" s="1">
        <f>NETWORKDAYS.INTL($R$3,$R$4,1,DIAS!$F$51:$J$54)</f>
        <v>22</v>
      </c>
      <c r="S13" s="1">
        <f>NETWORKDAYS.INTL($S$3,$S$4,1,DIAS!$F$51:$J$54)</f>
        <v>22</v>
      </c>
      <c r="T13" s="1">
        <f>NETWORKDAYS.INTL($T$3,$T$4,1,DIAS!$F$51:$J$54)</f>
        <v>20</v>
      </c>
      <c r="U13" s="1">
        <f>NETWORKDAYS.INTL($U$3,$U$4,1,DIAS!$F$51:$J$54)</f>
        <v>20</v>
      </c>
      <c r="V13" s="113">
        <f t="shared" si="1"/>
        <v>249</v>
      </c>
      <c r="X13" s="1">
        <f>SUMIFS(DIAS!$L$11:$L$47,DIAS!$A$11:$A$47,X$5,DIAS!$B$11:$B$47,$B13)</f>
        <v>2</v>
      </c>
      <c r="Y13" s="1">
        <f>SUMIFS(DIAS!$L$11:$L$47,DIAS!$A$11:$A$47,Y$5,DIAS!$B$11:$B$47,$B13)</f>
        <v>0</v>
      </c>
      <c r="Z13" s="1">
        <f>SUMIFS(DIAS!$L$11:$L$47,DIAS!$A$11:$A$47,Z$5,DIAS!$B$11:$B$47,$B13)</f>
        <v>0</v>
      </c>
      <c r="AA13" s="1">
        <f>SUMIFS(DIAS!$L$11:$L$47,DIAS!$A$11:$A$47,AA$5,DIAS!$B$11:$B$47,$B13)</f>
        <v>0</v>
      </c>
      <c r="AB13" s="1">
        <f>SUMIFS(DIAS!$L$11:$L$47,DIAS!$A$11:$A$47,AB$5,DIAS!$B$11:$B$47,$B13)</f>
        <v>1</v>
      </c>
      <c r="AC13" s="1">
        <f>SUMIFS(DIAS!$L$11:$L$47,DIAS!$A$11:$A$47,AC$5,DIAS!$B$11:$B$47,$B13)</f>
        <v>20</v>
      </c>
      <c r="AD13" s="1">
        <f>SUMIFS(DIAS!$L$11:$L$47,DIAS!$A$11:$A$47,AD$5,DIAS!$B$11:$B$47,$B13)</f>
        <v>2</v>
      </c>
      <c r="AE13" s="1">
        <f>SUMIFS(DIAS!$L$11:$L$47,DIAS!$A$11:$A$47,AE$5,DIAS!$B$11:$B$47,$B13)</f>
        <v>0</v>
      </c>
      <c r="AF13" s="1">
        <f>SUMIFS(DIAS!$L$11:$L$47,DIAS!$A$11:$A$47,AF$5,DIAS!$B$11:$B$47,$B13)</f>
        <v>0</v>
      </c>
      <c r="AG13" s="1">
        <f>SUMIFS(DIAS!$L$11:$L$47,DIAS!$A$11:$A$47,AG$5,DIAS!$B$11:$B$47,$B13)</f>
        <v>0</v>
      </c>
      <c r="AH13" s="1">
        <f>SUMIFS(DIAS!$L$11:$L$47,DIAS!$A$11:$A$47,AH$5,DIAS!$B$11:$B$47,$B13)</f>
        <v>0</v>
      </c>
      <c r="AI13" s="1">
        <f>SUMIFS(DIAS!$L$11:$L$47,DIAS!$A$11:$A$47,AI$5,DIAS!$B$11:$B$47,$B13)</f>
        <v>1</v>
      </c>
      <c r="AJ13" s="113">
        <f t="shared" si="2"/>
        <v>26</v>
      </c>
      <c r="AL13" s="1">
        <f t="shared" si="3"/>
        <v>20</v>
      </c>
      <c r="AM13" s="1">
        <f t="shared" si="4"/>
        <v>20</v>
      </c>
      <c r="AN13" s="1">
        <f t="shared" si="5"/>
        <v>21</v>
      </c>
      <c r="AO13" s="1">
        <f t="shared" si="6"/>
        <v>20</v>
      </c>
      <c r="AP13" s="1">
        <f t="shared" si="7"/>
        <v>20</v>
      </c>
      <c r="AQ13" s="1">
        <f t="shared" si="8"/>
        <v>1</v>
      </c>
      <c r="AR13" s="1">
        <f t="shared" si="9"/>
        <v>18</v>
      </c>
      <c r="AS13" s="1">
        <f t="shared" si="10"/>
        <v>20</v>
      </c>
      <c r="AT13" s="1">
        <f t="shared" si="11"/>
        <v>22</v>
      </c>
      <c r="AU13" s="1">
        <f t="shared" si="12"/>
        <v>22</v>
      </c>
      <c r="AV13" s="1">
        <f t="shared" si="13"/>
        <v>20</v>
      </c>
      <c r="AW13" s="1">
        <f t="shared" si="14"/>
        <v>19</v>
      </c>
      <c r="AX13" s="113">
        <f t="shared" si="15"/>
        <v>223</v>
      </c>
    </row>
    <row r="14" spans="1:50" x14ac:dyDescent="0.3">
      <c r="A14" s="3" t="s">
        <v>17</v>
      </c>
      <c r="B14" s="117" t="s">
        <v>39</v>
      </c>
      <c r="C14" s="117" t="s">
        <v>40</v>
      </c>
      <c r="D14" s="117" t="s">
        <v>41</v>
      </c>
      <c r="E14" s="117" t="s">
        <v>42</v>
      </c>
      <c r="F14" s="50">
        <v>45658</v>
      </c>
      <c r="G14" s="50">
        <v>46022</v>
      </c>
      <c r="H14" s="50"/>
      <c r="J14" s="1">
        <f>NETWORKDAYS.INTL($J$3,$J$4,1,DIAS!$F$51:$J$54)</f>
        <v>22</v>
      </c>
      <c r="K14" s="1">
        <f>NETWORKDAYS.INTL($K$3,$K$4,1,DIAS!$F$51:$J$54)</f>
        <v>20</v>
      </c>
      <c r="L14" s="1">
        <f>NETWORKDAYS.INTL($L$3,$L$4,1,DIAS!$F$51:$J$54)</f>
        <v>21</v>
      </c>
      <c r="M14" s="1">
        <f>NETWORKDAYS.INTL($M$3,$M$4,1,DIAS!$F$51:$J$54)</f>
        <v>20</v>
      </c>
      <c r="N14" s="1">
        <f>NETWORKDAYS.INTL($N$3,$N$4,1, DIAS!$F$51:$J$54)</f>
        <v>21</v>
      </c>
      <c r="O14" s="1">
        <f>NETWORKDAYS.INTL($O$3,$O$4,1,DIAS!$F$51:$J$54)</f>
        <v>21</v>
      </c>
      <c r="P14" s="1">
        <f>NETWORKDAYS.INTL($P$3,$P$4,1, DIAS!$F$51:$J$54)</f>
        <v>20</v>
      </c>
      <c r="Q14" s="1">
        <f>NETWORKDAYS.INTL($Q$3,$Q$4,1,DIAS!$F$51:$J$54)</f>
        <v>20</v>
      </c>
      <c r="R14" s="1">
        <f>NETWORKDAYS.INTL($R$3,$R$4,1,DIAS!$F$51:$J$54)</f>
        <v>22</v>
      </c>
      <c r="S14" s="1">
        <f>NETWORKDAYS.INTL($S$3,$S$4,1,DIAS!$F$51:$J$54)</f>
        <v>22</v>
      </c>
      <c r="T14" s="1">
        <f>NETWORKDAYS.INTL($T$3,$T$4,1,DIAS!$F$51:$J$54)</f>
        <v>20</v>
      </c>
      <c r="U14" s="1">
        <f>NETWORKDAYS.INTL($U$3,$U$4,1,DIAS!$F$51:$J$54)</f>
        <v>20</v>
      </c>
      <c r="V14" s="113">
        <f t="shared" si="1"/>
        <v>249</v>
      </c>
      <c r="X14" s="1">
        <f>SUMIFS(DIAS!$L$11:$L$47,DIAS!$A$11:$A$47,X$5,DIAS!$B$11:$B$47,$B14)</f>
        <v>0</v>
      </c>
      <c r="Y14" s="1">
        <f>SUMIFS(DIAS!$L$11:$L$47,DIAS!$A$11:$A$47,Y$5,DIAS!$B$11:$B$47,$B14)</f>
        <v>5</v>
      </c>
      <c r="Z14" s="1">
        <f>SUMIFS(DIAS!$L$11:$L$47,DIAS!$A$11:$A$47,Z$5,DIAS!$B$11:$B$47,$B14)</f>
        <v>0</v>
      </c>
      <c r="AA14" s="1">
        <f>SUMIFS(DIAS!$L$11:$L$47,DIAS!$A$11:$A$47,AA$5,DIAS!$B$11:$B$47,$B14)</f>
        <v>0</v>
      </c>
      <c r="AB14" s="1">
        <f>SUMIFS(DIAS!$L$11:$L$47,DIAS!$A$11:$A$47,AB$5,DIAS!$B$11:$B$47,$B14)</f>
        <v>10</v>
      </c>
      <c r="AC14" s="1">
        <f>SUMIFS(DIAS!$L$11:$L$47,DIAS!$A$11:$A$47,AC$5,DIAS!$B$11:$B$47,$B14)</f>
        <v>5</v>
      </c>
      <c r="AD14" s="1">
        <f>SUMIFS(DIAS!$L$11:$L$47,DIAS!$A$11:$A$47,AD$5,DIAS!$B$11:$B$47,$B14)</f>
        <v>14</v>
      </c>
      <c r="AE14" s="1">
        <f>SUMIFS(DIAS!$L$11:$L$47,DIAS!$A$11:$A$47,AE$5,DIAS!$B$11:$B$47,$B14)</f>
        <v>0</v>
      </c>
      <c r="AF14" s="1">
        <f>SUMIFS(DIAS!$L$11:$L$47,DIAS!$A$11:$A$47,AF$5,DIAS!$B$11:$B$47,$B14)</f>
        <v>0</v>
      </c>
      <c r="AG14" s="1">
        <f>SUMIFS(DIAS!$L$11:$L$47,DIAS!$A$11:$A$47,AG$5,DIAS!$B$11:$B$47,$B14)</f>
        <v>0</v>
      </c>
      <c r="AH14" s="1">
        <f>SUMIFS(DIAS!$L$11:$L$47,DIAS!$A$11:$A$47,AH$5,DIAS!$B$11:$B$47,$B14)</f>
        <v>0</v>
      </c>
      <c r="AI14" s="1">
        <f>SUMIFS(DIAS!$L$11:$L$47,DIAS!$A$11:$A$47,AI$5,DIAS!$B$11:$B$47,$B14)</f>
        <v>0</v>
      </c>
      <c r="AJ14" s="113">
        <f t="shared" si="2"/>
        <v>34</v>
      </c>
      <c r="AL14" s="1">
        <f t="shared" si="3"/>
        <v>22</v>
      </c>
      <c r="AM14" s="1">
        <f t="shared" si="4"/>
        <v>15</v>
      </c>
      <c r="AN14" s="1">
        <f t="shared" si="5"/>
        <v>21</v>
      </c>
      <c r="AO14" s="1">
        <f t="shared" si="6"/>
        <v>20</v>
      </c>
      <c r="AP14" s="1">
        <f t="shared" si="7"/>
        <v>11</v>
      </c>
      <c r="AQ14" s="1">
        <f t="shared" si="8"/>
        <v>16</v>
      </c>
      <c r="AR14" s="1">
        <f t="shared" si="9"/>
        <v>6</v>
      </c>
      <c r="AS14" s="1">
        <f t="shared" si="10"/>
        <v>20</v>
      </c>
      <c r="AT14" s="1">
        <f t="shared" si="11"/>
        <v>22</v>
      </c>
      <c r="AU14" s="1">
        <f t="shared" si="12"/>
        <v>22</v>
      </c>
      <c r="AV14" s="1">
        <f t="shared" si="13"/>
        <v>20</v>
      </c>
      <c r="AW14" s="1">
        <f t="shared" si="14"/>
        <v>20</v>
      </c>
      <c r="AX14" s="113">
        <f t="shared" si="15"/>
        <v>215</v>
      </c>
    </row>
    <row r="15" spans="1:50" x14ac:dyDescent="0.3">
      <c r="A15" s="3" t="s">
        <v>17</v>
      </c>
      <c r="B15" s="117" t="s">
        <v>43</v>
      </c>
      <c r="C15" s="117" t="s">
        <v>44</v>
      </c>
      <c r="D15" s="117" t="s">
        <v>45</v>
      </c>
      <c r="E15" s="117" t="s">
        <v>46</v>
      </c>
      <c r="F15" s="50">
        <v>45658</v>
      </c>
      <c r="G15" s="50">
        <v>46022</v>
      </c>
      <c r="H15" s="50"/>
      <c r="J15" s="1">
        <f>NETWORKDAYS.INTL($J$3,$J$4,1,DIAS!$F$51:$J$54)</f>
        <v>22</v>
      </c>
      <c r="K15" s="1">
        <f>NETWORKDAYS.INTL($K$3,$K$4,1,DIAS!$F$51:$J$54)</f>
        <v>20</v>
      </c>
      <c r="L15" s="1">
        <f>NETWORKDAYS.INTL($L$3,$L$4,1,DIAS!$F$51:$J$54)</f>
        <v>21</v>
      </c>
      <c r="M15" s="1">
        <f>NETWORKDAYS.INTL($M$3,$M$4,1,DIAS!$F$51:$J$54)</f>
        <v>20</v>
      </c>
      <c r="N15" s="1">
        <f>NETWORKDAYS.INTL($N$3,$N$4,1, DIAS!$F$51:$J$54)</f>
        <v>21</v>
      </c>
      <c r="O15" s="1">
        <f>NETWORKDAYS.INTL($O$3,$O$4,1,DIAS!$F$51:$J$54)</f>
        <v>21</v>
      </c>
      <c r="P15" s="1">
        <f>NETWORKDAYS.INTL($P$3,$P$4,1, DIAS!$F$51:$J$54)</f>
        <v>20</v>
      </c>
      <c r="Q15" s="1">
        <f>NETWORKDAYS.INTL($Q$3,$Q$4,1,DIAS!$F$51:$J$54)</f>
        <v>20</v>
      </c>
      <c r="R15" s="1">
        <f>NETWORKDAYS.INTL($R$3,$R$4,1,DIAS!$F$51:$J$54)</f>
        <v>22</v>
      </c>
      <c r="S15" s="1">
        <f>NETWORKDAYS.INTL($S$3,$S$4,1,DIAS!$F$51:$J$54)</f>
        <v>22</v>
      </c>
      <c r="T15" s="1">
        <f>NETWORKDAYS.INTL($T$3,$T$4,1,DIAS!$F$51:$J$54)</f>
        <v>20</v>
      </c>
      <c r="U15" s="1">
        <f>NETWORKDAYS.INTL($U$3,$U$4,1,DIAS!$F$51:$J$54)</f>
        <v>20</v>
      </c>
      <c r="V15" s="113">
        <f t="shared" si="1"/>
        <v>249</v>
      </c>
      <c r="X15" s="1">
        <f>SUMIFS(DIAS!$L$11:$L$47,DIAS!$A$11:$A$47,X$5,DIAS!$B$11:$B$47,$B15)</f>
        <v>0</v>
      </c>
      <c r="Y15" s="1">
        <f>SUMIFS(DIAS!$L$11:$L$47,DIAS!$A$11:$A$47,Y$5,DIAS!$B$11:$B$47,$B15)</f>
        <v>20</v>
      </c>
      <c r="Z15" s="1">
        <f>SUMIFS(DIAS!$L$11:$L$47,DIAS!$A$11:$A$47,Z$5,DIAS!$B$11:$B$47,$B15)</f>
        <v>0</v>
      </c>
      <c r="AA15" s="1">
        <f>SUMIFS(DIAS!$L$11:$L$47,DIAS!$A$11:$A$47,AA$5,DIAS!$B$11:$B$47,$B15)</f>
        <v>2</v>
      </c>
      <c r="AB15" s="1">
        <f>SUMIFS(DIAS!$L$11:$L$47,DIAS!$A$11:$A$47,AB$5,DIAS!$B$11:$B$47,$B15)</f>
        <v>0</v>
      </c>
      <c r="AC15" s="1">
        <f>SUMIFS(DIAS!$L$11:$L$47,DIAS!$A$11:$A$47,AC$5,DIAS!$B$11:$B$47,$B15)</f>
        <v>0</v>
      </c>
      <c r="AD15" s="1">
        <f>SUMIFS(DIAS!$L$11:$L$47,DIAS!$A$11:$A$47,AD$5,DIAS!$B$11:$B$47,$B15)</f>
        <v>0</v>
      </c>
      <c r="AE15" s="1">
        <f>SUMIFS(DIAS!$L$11:$L$47,DIAS!$A$11:$A$47,AE$5,DIAS!$B$11:$B$47,$B15)</f>
        <v>0</v>
      </c>
      <c r="AF15" s="1">
        <f>SUMIFS(DIAS!$L$11:$L$47,DIAS!$A$11:$A$47,AF$5,DIAS!$B$11:$B$47,$B15)</f>
        <v>0</v>
      </c>
      <c r="AG15" s="1">
        <f>SUMIFS(DIAS!$L$11:$L$47,DIAS!$A$11:$A$47,AG$5,DIAS!$B$11:$B$47,$B15)</f>
        <v>0</v>
      </c>
      <c r="AH15" s="1">
        <f>SUMIFS(DIAS!$L$11:$L$47,DIAS!$A$11:$A$47,AH$5,DIAS!$B$11:$B$47,$B15)</f>
        <v>0</v>
      </c>
      <c r="AI15" s="1">
        <f>SUMIFS(DIAS!$L$11:$L$47,DIAS!$A$11:$A$47,AI$5,DIAS!$B$11:$B$47,$B15)</f>
        <v>0</v>
      </c>
      <c r="AJ15" s="113">
        <f t="shared" si="2"/>
        <v>22</v>
      </c>
      <c r="AL15" s="1">
        <f t="shared" si="3"/>
        <v>22</v>
      </c>
      <c r="AM15" s="1">
        <f t="shared" si="4"/>
        <v>0</v>
      </c>
      <c r="AN15" s="1">
        <f t="shared" si="5"/>
        <v>21</v>
      </c>
      <c r="AO15" s="1">
        <f t="shared" si="6"/>
        <v>18</v>
      </c>
      <c r="AP15" s="1">
        <f t="shared" si="7"/>
        <v>21</v>
      </c>
      <c r="AQ15" s="1">
        <f t="shared" si="8"/>
        <v>21</v>
      </c>
      <c r="AR15" s="1">
        <f t="shared" si="9"/>
        <v>20</v>
      </c>
      <c r="AS15" s="1">
        <f t="shared" si="10"/>
        <v>20</v>
      </c>
      <c r="AT15" s="1">
        <f t="shared" si="11"/>
        <v>22</v>
      </c>
      <c r="AU15" s="1">
        <f t="shared" si="12"/>
        <v>22</v>
      </c>
      <c r="AV15" s="1">
        <f t="shared" si="13"/>
        <v>20</v>
      </c>
      <c r="AW15" s="1">
        <f t="shared" si="14"/>
        <v>20</v>
      </c>
      <c r="AX15" s="113">
        <f t="shared" si="15"/>
        <v>227</v>
      </c>
    </row>
    <row r="16" spans="1:50" x14ac:dyDescent="0.3">
      <c r="A16" s="3" t="s">
        <v>17</v>
      </c>
      <c r="B16" s="117" t="s">
        <v>72</v>
      </c>
      <c r="C16" s="117" t="s">
        <v>28</v>
      </c>
      <c r="D16" s="117" t="s">
        <v>73</v>
      </c>
      <c r="E16" s="117" t="s">
        <v>74</v>
      </c>
      <c r="F16" s="50">
        <v>45658</v>
      </c>
      <c r="G16" s="50">
        <v>46022</v>
      </c>
      <c r="H16" s="50"/>
      <c r="J16" s="1">
        <f>NETWORKDAYS.INTL($J$3,$J$4,1,DIAS!$F$51:$J$54)</f>
        <v>22</v>
      </c>
      <c r="K16" s="1">
        <f>NETWORKDAYS.INTL($K$3,$K$4,1,DIAS!$F$51:$J$54)</f>
        <v>20</v>
      </c>
      <c r="L16" s="1">
        <f>NETWORKDAYS.INTL($L$3,$L$4,1,DIAS!$F$51:$J$54)</f>
        <v>21</v>
      </c>
      <c r="M16" s="1">
        <f>NETWORKDAYS.INTL($M$3,$M$4,1,DIAS!$F$51:$J$54)</f>
        <v>20</v>
      </c>
      <c r="N16" s="1">
        <f>NETWORKDAYS.INTL($N$3,$N$4,1, DIAS!$F$51:$J$54)</f>
        <v>21</v>
      </c>
      <c r="O16" s="1">
        <f>NETWORKDAYS.INTL($O$3,$O$4,1,DIAS!$F$51:$J$54)</f>
        <v>21</v>
      </c>
      <c r="P16" s="1">
        <f>NETWORKDAYS.INTL($P$3,$P$4,1, DIAS!$F$51:$J$54)</f>
        <v>20</v>
      </c>
      <c r="Q16" s="1">
        <f>NETWORKDAYS.INTL($Q$3,$Q$4,1,DIAS!$F$51:$J$54)</f>
        <v>20</v>
      </c>
      <c r="R16" s="1">
        <f>NETWORKDAYS.INTL($R$3,$R$4,1,DIAS!$F$51:$J$54)</f>
        <v>22</v>
      </c>
      <c r="S16" s="1">
        <f>NETWORKDAYS.INTL($S$3,$S$4,1,DIAS!$F$51:$J$54)</f>
        <v>22</v>
      </c>
      <c r="T16" s="1">
        <f>NETWORKDAYS.INTL($T$3,$T$4,1,DIAS!$F$51:$J$54)</f>
        <v>20</v>
      </c>
      <c r="U16" s="1">
        <f>NETWORKDAYS.INTL($U$3,$U$4,1,DIAS!$F$51:$J$54)</f>
        <v>20</v>
      </c>
      <c r="V16" s="113">
        <f t="shared" si="1"/>
        <v>249</v>
      </c>
      <c r="X16" s="1">
        <f>SUMIFS(DIAS!$L$11:$L$47,DIAS!$A$11:$A$47,X$5,DIAS!$B$11:$B$47,$B16)</f>
        <v>0</v>
      </c>
      <c r="Y16" s="1">
        <f>SUMIFS(DIAS!$L$11:$L$47,DIAS!$A$11:$A$47,Y$5,DIAS!$B$11:$B$47,$B16)</f>
        <v>0</v>
      </c>
      <c r="Z16" s="1">
        <f>SUMIFS(DIAS!$L$11:$L$47,DIAS!$A$11:$A$47,Z$5,DIAS!$B$11:$B$47,$B16)</f>
        <v>0</v>
      </c>
      <c r="AA16" s="1">
        <f>SUMIFS(DIAS!$L$11:$L$47,DIAS!$A$11:$A$47,AA$5,DIAS!$B$11:$B$47,$B16)</f>
        <v>0</v>
      </c>
      <c r="AB16" s="1">
        <f>SUMIFS(DIAS!$L$11:$L$47,DIAS!$A$11:$A$47,AB$5,DIAS!$B$11:$B$47,$B16)</f>
        <v>0</v>
      </c>
      <c r="AC16" s="1">
        <f>SUMIFS(DIAS!$L$11:$L$47,DIAS!$A$11:$A$47,AC$5,DIAS!$B$11:$B$47,$B16)</f>
        <v>0</v>
      </c>
      <c r="AD16" s="1">
        <f>SUMIFS(DIAS!$L$11:$L$47,DIAS!$A$11:$A$47,AD$5,DIAS!$B$11:$B$47,$B16)</f>
        <v>0</v>
      </c>
      <c r="AE16" s="1">
        <f>SUMIFS(DIAS!$L$11:$L$47,DIAS!$A$11:$A$47,AE$5,DIAS!$B$11:$B$47,$B16)</f>
        <v>0</v>
      </c>
      <c r="AF16" s="1">
        <f>SUMIFS(DIAS!$L$11:$L$47,DIAS!$A$11:$A$47,AF$5,DIAS!$B$11:$B$47,$B16)</f>
        <v>0</v>
      </c>
      <c r="AG16" s="1">
        <f>SUMIFS(DIAS!$L$11:$L$47,DIAS!$A$11:$A$47,AG$5,DIAS!$B$11:$B$47,$B16)</f>
        <v>17</v>
      </c>
      <c r="AH16" s="1">
        <f>SUMIFS(DIAS!$L$11:$L$47,DIAS!$A$11:$A$47,AH$5,DIAS!$B$11:$B$47,$B16)</f>
        <v>1</v>
      </c>
      <c r="AI16" s="1">
        <f>SUMIFS(DIAS!$L$11:$L$47,DIAS!$A$11:$A$47,AI$5,DIAS!$B$11:$B$47,$B16)</f>
        <v>0</v>
      </c>
      <c r="AJ16" s="113">
        <f t="shared" si="2"/>
        <v>18</v>
      </c>
      <c r="AL16" s="1">
        <f t="shared" si="3"/>
        <v>22</v>
      </c>
      <c r="AM16" s="1">
        <f t="shared" si="4"/>
        <v>20</v>
      </c>
      <c r="AN16" s="1">
        <f t="shared" si="5"/>
        <v>21</v>
      </c>
      <c r="AO16" s="1">
        <f t="shared" si="6"/>
        <v>20</v>
      </c>
      <c r="AP16" s="1">
        <f t="shared" si="7"/>
        <v>21</v>
      </c>
      <c r="AQ16" s="1">
        <f t="shared" si="8"/>
        <v>21</v>
      </c>
      <c r="AR16" s="1">
        <f t="shared" si="9"/>
        <v>20</v>
      </c>
      <c r="AS16" s="1">
        <f t="shared" si="10"/>
        <v>20</v>
      </c>
      <c r="AT16" s="1">
        <f t="shared" si="11"/>
        <v>22</v>
      </c>
      <c r="AU16" s="1">
        <f t="shared" si="12"/>
        <v>5</v>
      </c>
      <c r="AV16" s="1">
        <f t="shared" si="13"/>
        <v>19</v>
      </c>
      <c r="AW16" s="1">
        <f t="shared" si="14"/>
        <v>20</v>
      </c>
      <c r="AX16" s="113">
        <f t="shared" si="15"/>
        <v>231</v>
      </c>
    </row>
    <row r="17" spans="1:50" x14ac:dyDescent="0.3">
      <c r="A17" s="3" t="s">
        <v>17</v>
      </c>
      <c r="B17" s="117" t="s">
        <v>51</v>
      </c>
      <c r="C17" s="117" t="s">
        <v>52</v>
      </c>
      <c r="D17" s="117" t="s">
        <v>53</v>
      </c>
      <c r="E17" s="117" t="s">
        <v>54</v>
      </c>
      <c r="F17" s="50">
        <v>45658</v>
      </c>
      <c r="G17" s="50">
        <v>46022</v>
      </c>
      <c r="H17" s="50"/>
      <c r="J17" s="1">
        <f>NETWORKDAYS.INTL($J$3,$J$4,1,DIAS!$F$51:$J$54)</f>
        <v>22</v>
      </c>
      <c r="K17" s="1">
        <f>NETWORKDAYS.INTL($K$3,$K$4,1,DIAS!$F$51:$J$54)</f>
        <v>20</v>
      </c>
      <c r="L17" s="1">
        <f>NETWORKDAYS.INTL($L$3,$L$4,1,DIAS!$F$51:$J$54)</f>
        <v>21</v>
      </c>
      <c r="M17" s="1">
        <f>NETWORKDAYS.INTL($M$3,$M$4,1,DIAS!$F$51:$J$54)</f>
        <v>20</v>
      </c>
      <c r="N17" s="1">
        <f>NETWORKDAYS.INTL($N$3,$N$4,1, DIAS!$F$51:$J$54)</f>
        <v>21</v>
      </c>
      <c r="O17" s="1">
        <f>NETWORKDAYS.INTL($O$3,$O$4,1,DIAS!$F$51:$J$54)</f>
        <v>21</v>
      </c>
      <c r="P17" s="1">
        <f>NETWORKDAYS.INTL($P$3,$P$4,1, DIAS!$F$51:$J$54)</f>
        <v>20</v>
      </c>
      <c r="Q17" s="1">
        <f>NETWORKDAYS.INTL($Q$3,$Q$4,1,DIAS!$F$51:$J$54)</f>
        <v>20</v>
      </c>
      <c r="R17" s="1">
        <f>NETWORKDAYS.INTL($R$3,$R$4,1,DIAS!$F$51:$J$54)</f>
        <v>22</v>
      </c>
      <c r="S17" s="1">
        <f>NETWORKDAYS.INTL($S$3,$S$4,1,DIAS!$F$51:$J$54)</f>
        <v>22</v>
      </c>
      <c r="T17" s="1">
        <f>NETWORKDAYS.INTL($T$3,$T$4,1,DIAS!$F$51:$J$54)</f>
        <v>20</v>
      </c>
      <c r="U17" s="1">
        <f>NETWORKDAYS.INTL($U$3,$U$4,1,DIAS!$F$51:$J$54)</f>
        <v>20</v>
      </c>
      <c r="V17" s="113">
        <f t="shared" si="1"/>
        <v>249</v>
      </c>
      <c r="X17" s="1">
        <f>SUMIFS(DIAS!$L$11:$L$47,DIAS!$A$11:$A$47,X$5,DIAS!$B$11:$B$47,$B17)</f>
        <v>0</v>
      </c>
      <c r="Y17" s="1">
        <f>SUMIFS(DIAS!$L$11:$L$47,DIAS!$A$11:$A$47,Y$5,DIAS!$B$11:$B$47,$B17)</f>
        <v>0</v>
      </c>
      <c r="Z17" s="1">
        <f>SUMIFS(DIAS!$L$11:$L$47,DIAS!$A$11:$A$47,Z$5,DIAS!$B$11:$B$47,$B17)</f>
        <v>5</v>
      </c>
      <c r="AA17" s="1">
        <f>SUMIFS(DIAS!$L$11:$L$47,DIAS!$A$11:$A$47,AA$5,DIAS!$B$11:$B$47,$B17)</f>
        <v>0</v>
      </c>
      <c r="AB17" s="1">
        <f>SUMIFS(DIAS!$L$11:$L$47,DIAS!$A$11:$A$47,AB$5,DIAS!$B$11:$B$47,$B17)</f>
        <v>0</v>
      </c>
      <c r="AC17" s="1">
        <f>SUMIFS(DIAS!$L$11:$L$47,DIAS!$A$11:$A$47,AC$5,DIAS!$B$11:$B$47,$B17)</f>
        <v>0</v>
      </c>
      <c r="AD17" s="1">
        <f>SUMIFS(DIAS!$L$11:$L$47,DIAS!$A$11:$A$47,AD$5,DIAS!$B$11:$B$47,$B17)</f>
        <v>0</v>
      </c>
      <c r="AE17" s="1">
        <f>SUMIFS(DIAS!$L$11:$L$47,DIAS!$A$11:$A$47,AE$5,DIAS!$B$11:$B$47,$B17)</f>
        <v>0</v>
      </c>
      <c r="AF17" s="1">
        <f>SUMIFS(DIAS!$L$11:$L$47,DIAS!$A$11:$A$47,AF$5,DIAS!$B$11:$B$47,$B17)</f>
        <v>5</v>
      </c>
      <c r="AG17" s="1">
        <f>SUMIFS(DIAS!$L$11:$L$47,DIAS!$A$11:$A$47,AG$5,DIAS!$B$11:$B$47,$B17)</f>
        <v>0</v>
      </c>
      <c r="AH17" s="1">
        <f>SUMIFS(DIAS!$L$11:$L$47,DIAS!$A$11:$A$47,AH$5,DIAS!$B$11:$B$47,$B17)</f>
        <v>2</v>
      </c>
      <c r="AI17" s="1">
        <f>SUMIFS(DIAS!$L$11:$L$47,DIAS!$A$11:$A$47,AI$5,DIAS!$B$11:$B$47,$B17)</f>
        <v>0</v>
      </c>
      <c r="AJ17" s="113">
        <f t="shared" si="2"/>
        <v>12</v>
      </c>
      <c r="AL17" s="1">
        <f t="shared" si="3"/>
        <v>22</v>
      </c>
      <c r="AM17" s="1">
        <f t="shared" si="4"/>
        <v>20</v>
      </c>
      <c r="AN17" s="1">
        <f t="shared" si="5"/>
        <v>16</v>
      </c>
      <c r="AO17" s="1">
        <f t="shared" si="6"/>
        <v>20</v>
      </c>
      <c r="AP17" s="1">
        <f t="shared" si="7"/>
        <v>21</v>
      </c>
      <c r="AQ17" s="1">
        <f t="shared" si="8"/>
        <v>21</v>
      </c>
      <c r="AR17" s="1">
        <f t="shared" si="9"/>
        <v>20</v>
      </c>
      <c r="AS17" s="1">
        <f t="shared" si="10"/>
        <v>20</v>
      </c>
      <c r="AT17" s="1">
        <f t="shared" si="11"/>
        <v>17</v>
      </c>
      <c r="AU17" s="1">
        <f t="shared" si="12"/>
        <v>22</v>
      </c>
      <c r="AV17" s="1">
        <f t="shared" si="13"/>
        <v>18</v>
      </c>
      <c r="AW17" s="1">
        <f t="shared" si="14"/>
        <v>20</v>
      </c>
      <c r="AX17" s="113">
        <f t="shared" si="15"/>
        <v>237</v>
      </c>
    </row>
    <row r="18" spans="1:50" x14ac:dyDescent="0.3">
      <c r="A18" s="3" t="s">
        <v>17</v>
      </c>
      <c r="B18" s="117" t="s">
        <v>65</v>
      </c>
      <c r="C18" s="117" t="s">
        <v>66</v>
      </c>
      <c r="D18" s="117" t="s">
        <v>67</v>
      </c>
      <c r="E18" s="117" t="s">
        <v>38</v>
      </c>
      <c r="F18" s="50">
        <v>45658</v>
      </c>
      <c r="G18" s="50">
        <v>46022</v>
      </c>
      <c r="H18" s="50"/>
      <c r="J18" s="1">
        <f>NETWORKDAYS.INTL($J$3,$J$4,1,DIAS!$F$51:$J$54)</f>
        <v>22</v>
      </c>
      <c r="K18" s="1">
        <f>NETWORKDAYS.INTL($K$3,$K$4,1,DIAS!$F$51:$J$54)</f>
        <v>20</v>
      </c>
      <c r="L18" s="1">
        <f>NETWORKDAYS.INTL($L$3,$L$4,1,DIAS!$F$51:$J$54)</f>
        <v>21</v>
      </c>
      <c r="M18" s="1">
        <f>NETWORKDAYS.INTL($M$3,$M$4,1,DIAS!$F$51:$J$54)</f>
        <v>20</v>
      </c>
      <c r="N18" s="1">
        <f>NETWORKDAYS.INTL($N$3,$N$4,1, DIAS!$F$51:$J$54)</f>
        <v>21</v>
      </c>
      <c r="O18" s="1">
        <f>NETWORKDAYS.INTL($O$3,$O$4,1,DIAS!$F$51:$J$54)</f>
        <v>21</v>
      </c>
      <c r="P18" s="1">
        <f>NETWORKDAYS.INTL($P$3,$P$4,1, DIAS!$F$51:$J$54)</f>
        <v>20</v>
      </c>
      <c r="Q18" s="1">
        <f>NETWORKDAYS.INTL($Q$3,$Q$4,1,DIAS!$F$51:$J$54)</f>
        <v>20</v>
      </c>
      <c r="R18" s="1">
        <f>NETWORKDAYS.INTL($R$3,$R$4,1,DIAS!$F$51:$J$54)</f>
        <v>22</v>
      </c>
      <c r="S18" s="1">
        <f>NETWORKDAYS.INTL($S$3,$S$4,1,DIAS!$F$51:$J$54)</f>
        <v>22</v>
      </c>
      <c r="T18" s="1">
        <f>NETWORKDAYS.INTL($T$3,$T$4,1,DIAS!$F$51:$J$54)</f>
        <v>20</v>
      </c>
      <c r="U18" s="1">
        <f>NETWORKDAYS.INTL($U$3,$U$4,1,DIAS!$F$51:$J$54)</f>
        <v>20</v>
      </c>
      <c r="V18" s="113">
        <f t="shared" si="1"/>
        <v>249</v>
      </c>
      <c r="X18" s="1">
        <f>SUMIFS(DIAS!$L$11:$L$47,DIAS!$A$11:$A$47,X$5,DIAS!$B$11:$B$47,$B18)</f>
        <v>0</v>
      </c>
      <c r="Y18" s="1">
        <f>SUMIFS(DIAS!$L$11:$L$47,DIAS!$A$11:$A$47,Y$5,DIAS!$B$11:$B$47,$B18)</f>
        <v>0</v>
      </c>
      <c r="Z18" s="1">
        <f>SUMIFS(DIAS!$L$11:$L$47,DIAS!$A$11:$A$47,Z$5,DIAS!$B$11:$B$47,$B18)</f>
        <v>0</v>
      </c>
      <c r="AA18" s="1">
        <f>SUMIFS(DIAS!$L$11:$L$47,DIAS!$A$11:$A$47,AA$5,DIAS!$B$11:$B$47,$B18)</f>
        <v>0</v>
      </c>
      <c r="AB18" s="1">
        <f>SUMIFS(DIAS!$L$11:$L$47,DIAS!$A$11:$A$47,AB$5,DIAS!$B$11:$B$47,$B18)</f>
        <v>0</v>
      </c>
      <c r="AC18" s="1">
        <f>SUMIFS(DIAS!$L$11:$L$47,DIAS!$A$11:$A$47,AC$5,DIAS!$B$11:$B$47,$B18)</f>
        <v>0</v>
      </c>
      <c r="AD18" s="1">
        <f>SUMIFS(DIAS!$L$11:$L$47,DIAS!$A$11:$A$47,AD$5,DIAS!$B$11:$B$47,$B18)</f>
        <v>2</v>
      </c>
      <c r="AE18" s="1">
        <f>SUMIFS(DIAS!$L$11:$L$47,DIAS!$A$11:$A$47,AE$5,DIAS!$B$11:$B$47,$B18)</f>
        <v>0</v>
      </c>
      <c r="AF18" s="1">
        <f>SUMIFS(DIAS!$L$11:$L$47,DIAS!$A$11:$A$47,AF$5,DIAS!$B$11:$B$47,$B18)</f>
        <v>0</v>
      </c>
      <c r="AG18" s="1">
        <f>SUMIFS(DIAS!$L$11:$L$47,DIAS!$A$11:$A$47,AG$5,DIAS!$B$11:$B$47,$B18)</f>
        <v>0</v>
      </c>
      <c r="AH18" s="1">
        <f>SUMIFS(DIAS!$L$11:$L$47,DIAS!$A$11:$A$47,AH$5,DIAS!$B$11:$B$47,$B18)</f>
        <v>20</v>
      </c>
      <c r="AI18" s="1">
        <f>SUMIFS(DIAS!$L$11:$L$47,DIAS!$A$11:$A$47,AI$5,DIAS!$B$11:$B$47,$B18)</f>
        <v>2</v>
      </c>
      <c r="AJ18" s="113">
        <f t="shared" si="2"/>
        <v>24</v>
      </c>
      <c r="AL18" s="1">
        <f t="shared" si="3"/>
        <v>22</v>
      </c>
      <c r="AM18" s="1">
        <f t="shared" si="4"/>
        <v>20</v>
      </c>
      <c r="AN18" s="1">
        <f t="shared" si="5"/>
        <v>21</v>
      </c>
      <c r="AO18" s="1">
        <f t="shared" si="6"/>
        <v>20</v>
      </c>
      <c r="AP18" s="1">
        <f t="shared" si="7"/>
        <v>21</v>
      </c>
      <c r="AQ18" s="1">
        <f t="shared" si="8"/>
        <v>21</v>
      </c>
      <c r="AR18" s="1">
        <f t="shared" si="9"/>
        <v>18</v>
      </c>
      <c r="AS18" s="1">
        <f t="shared" si="10"/>
        <v>20</v>
      </c>
      <c r="AT18" s="1">
        <f t="shared" si="11"/>
        <v>22</v>
      </c>
      <c r="AU18" s="1">
        <f t="shared" si="12"/>
        <v>22</v>
      </c>
      <c r="AV18" s="1">
        <f t="shared" si="13"/>
        <v>0</v>
      </c>
      <c r="AW18" s="1">
        <f t="shared" si="14"/>
        <v>18</v>
      </c>
      <c r="AX18" s="113">
        <f t="shared" si="15"/>
        <v>225</v>
      </c>
    </row>
    <row r="19" spans="1:50" x14ac:dyDescent="0.3">
      <c r="A19" s="3" t="s">
        <v>17</v>
      </c>
      <c r="B19" s="117" t="s">
        <v>61</v>
      </c>
      <c r="C19" s="117" t="s">
        <v>62</v>
      </c>
      <c r="D19" s="117" t="s">
        <v>63</v>
      </c>
      <c r="E19" s="117" t="s">
        <v>64</v>
      </c>
      <c r="F19" s="50">
        <v>45658</v>
      </c>
      <c r="G19" s="50">
        <v>46022</v>
      </c>
      <c r="H19" s="50"/>
      <c r="J19" s="1">
        <f>NETWORKDAYS.INTL($J$3,$J$4,1,DIAS!$F$51:$J$54)</f>
        <v>22</v>
      </c>
      <c r="K19" s="1">
        <f>NETWORKDAYS.INTL($K$3,$K$4,1,DIAS!$F$51:$J$54)</f>
        <v>20</v>
      </c>
      <c r="L19" s="1">
        <f>NETWORKDAYS.INTL($L$3,$L$4,1,DIAS!$F$51:$J$54)</f>
        <v>21</v>
      </c>
      <c r="M19" s="1">
        <f>NETWORKDAYS.INTL($M$3,$M$4,1,DIAS!$F$51:$J$54)</f>
        <v>20</v>
      </c>
      <c r="N19" s="1">
        <f>NETWORKDAYS.INTL($N$3,$N$4,1, DIAS!$F$51:$J$54)</f>
        <v>21</v>
      </c>
      <c r="O19" s="1">
        <f>NETWORKDAYS.INTL($O$3,$O$4,1,DIAS!$F$51:$J$54)</f>
        <v>21</v>
      </c>
      <c r="P19" s="1">
        <f>NETWORKDAYS.INTL($P$3,$P$4,1, DIAS!$F$51:$J$54)</f>
        <v>20</v>
      </c>
      <c r="Q19" s="1">
        <f>NETWORKDAYS.INTL($Q$3,$Q$4,1,DIAS!$F$51:$J$54)</f>
        <v>20</v>
      </c>
      <c r="R19" s="1">
        <f>NETWORKDAYS.INTL($R$3,$R$4,1,DIAS!$F$51:$J$54)</f>
        <v>22</v>
      </c>
      <c r="S19" s="1">
        <f>NETWORKDAYS.INTL($S$3,$S$4,1,DIAS!$F$51:$J$54)</f>
        <v>22</v>
      </c>
      <c r="T19" s="1">
        <f>NETWORKDAYS.INTL($T$3,$T$4,1,DIAS!$F$51:$J$54)</f>
        <v>20</v>
      </c>
      <c r="U19" s="1">
        <f>NETWORKDAYS.INTL($U$3,$U$4,1,DIAS!$F$51:$J$54)</f>
        <v>20</v>
      </c>
      <c r="V19" s="113">
        <f t="shared" si="1"/>
        <v>249</v>
      </c>
      <c r="X19" s="1">
        <f>SUMIFS(DIAS!$L$11:$L$47,DIAS!$A$11:$A$47,X$5,DIAS!$B$11:$B$47,$B19)</f>
        <v>0</v>
      </c>
      <c r="Y19" s="1">
        <f>SUMIFS(DIAS!$L$11:$L$47,DIAS!$A$11:$A$47,Y$5,DIAS!$B$11:$B$47,$B19)</f>
        <v>0</v>
      </c>
      <c r="Z19" s="1">
        <f>SUMIFS(DIAS!$L$11:$L$47,DIAS!$A$11:$A$47,Z$5,DIAS!$B$11:$B$47,$B19)</f>
        <v>0</v>
      </c>
      <c r="AA19" s="1">
        <f>SUMIFS(DIAS!$L$11:$L$47,DIAS!$A$11:$A$47,AA$5,DIAS!$B$11:$B$47,$B19)</f>
        <v>2</v>
      </c>
      <c r="AB19" s="1">
        <f>SUMIFS(DIAS!$L$11:$L$47,DIAS!$A$11:$A$47,AB$5,DIAS!$B$11:$B$47,$B19)</f>
        <v>7</v>
      </c>
      <c r="AC19" s="1">
        <f>SUMIFS(DIAS!$L$11:$L$47,DIAS!$A$11:$A$47,AC$5,DIAS!$B$11:$B$47,$B19)</f>
        <v>0</v>
      </c>
      <c r="AD19" s="1">
        <f>SUMIFS(DIAS!$L$11:$L$47,DIAS!$A$11:$A$47,AD$5,DIAS!$B$11:$B$47,$B19)</f>
        <v>5</v>
      </c>
      <c r="AE19" s="1">
        <f>SUMIFS(DIAS!$L$11:$L$47,DIAS!$A$11:$A$47,AE$5,DIAS!$B$11:$B$47,$B19)</f>
        <v>0</v>
      </c>
      <c r="AF19" s="1">
        <f>SUMIFS(DIAS!$L$11:$L$47,DIAS!$A$11:$A$47,AF$5,DIAS!$B$11:$B$47,$B19)</f>
        <v>0</v>
      </c>
      <c r="AG19" s="1">
        <f>SUMIFS(DIAS!$L$11:$L$47,DIAS!$A$11:$A$47,AG$5,DIAS!$B$11:$B$47,$B19)</f>
        <v>5</v>
      </c>
      <c r="AH19" s="1">
        <f>SUMIFS(DIAS!$L$11:$L$47,DIAS!$A$11:$A$47,AH$5,DIAS!$B$11:$B$47,$B19)</f>
        <v>0</v>
      </c>
      <c r="AI19" s="1">
        <f>SUMIFS(DIAS!$L$11:$L$47,DIAS!$A$11:$A$47,AI$5,DIAS!$B$11:$B$47,$B19)</f>
        <v>0</v>
      </c>
      <c r="AJ19" s="113">
        <f t="shared" si="2"/>
        <v>19</v>
      </c>
      <c r="AL19" s="1">
        <f t="shared" si="3"/>
        <v>22</v>
      </c>
      <c r="AM19" s="1">
        <f t="shared" si="4"/>
        <v>20</v>
      </c>
      <c r="AN19" s="1">
        <f t="shared" si="5"/>
        <v>21</v>
      </c>
      <c r="AO19" s="1">
        <f t="shared" si="6"/>
        <v>18</v>
      </c>
      <c r="AP19" s="1">
        <f t="shared" si="7"/>
        <v>14</v>
      </c>
      <c r="AQ19" s="1">
        <f t="shared" si="8"/>
        <v>21</v>
      </c>
      <c r="AR19" s="1">
        <f t="shared" si="9"/>
        <v>15</v>
      </c>
      <c r="AS19" s="1">
        <f t="shared" si="10"/>
        <v>20</v>
      </c>
      <c r="AT19" s="1">
        <f t="shared" si="11"/>
        <v>22</v>
      </c>
      <c r="AU19" s="1">
        <f t="shared" si="12"/>
        <v>17</v>
      </c>
      <c r="AV19" s="1">
        <f t="shared" si="13"/>
        <v>20</v>
      </c>
      <c r="AW19" s="1">
        <f t="shared" si="14"/>
        <v>20</v>
      </c>
      <c r="AX19" s="113">
        <f t="shared" si="15"/>
        <v>230</v>
      </c>
    </row>
    <row r="20" spans="1:50" x14ac:dyDescent="0.3">
      <c r="A20" s="3" t="s">
        <v>17</v>
      </c>
      <c r="B20" s="117" t="s">
        <v>68</v>
      </c>
      <c r="C20" s="117" t="s">
        <v>69</v>
      </c>
      <c r="D20" s="117" t="s">
        <v>70</v>
      </c>
      <c r="E20" s="117" t="s">
        <v>71</v>
      </c>
      <c r="F20" s="50">
        <v>45658</v>
      </c>
      <c r="G20" s="50">
        <f>+DIAS!F71</f>
        <v>45996</v>
      </c>
      <c r="H20" s="50"/>
      <c r="J20" s="53">
        <f>NETWORKDAYS.INTL($J$3,$J$4,1,DIAS!$F$51:$J$54)</f>
        <v>22</v>
      </c>
      <c r="K20" s="53">
        <f>NETWORKDAYS.INTL($K$3,$K$4,1,DIAS!$F$51:$J$54)</f>
        <v>20</v>
      </c>
      <c r="L20" s="53">
        <f>NETWORKDAYS.INTL($L$3,$L$4,1,DIAS!$F$51:$J$54)</f>
        <v>21</v>
      </c>
      <c r="M20" s="53">
        <f>NETWORKDAYS.INTL($M$3,$M$4,1,DIAS!$F$51:$J$54)</f>
        <v>20</v>
      </c>
      <c r="N20" s="53">
        <f>NETWORKDAYS.INTL($N$3,$N$4,1, DIAS!$F$51:$J$54)</f>
        <v>21</v>
      </c>
      <c r="O20" s="53">
        <f>NETWORKDAYS.INTL($O$3,$O$4,1,DIAS!$F$51:$J$54)</f>
        <v>21</v>
      </c>
      <c r="P20" s="53">
        <f>NETWORKDAYS.INTL($P$3,$P$4,1, DIAS!$F$51:$J$54)</f>
        <v>20</v>
      </c>
      <c r="Q20" s="53">
        <f>NETWORKDAYS.INTL($Q$3,$Q$4,1,DIAS!$F$51:$J$54)</f>
        <v>20</v>
      </c>
      <c r="R20" s="53">
        <f>NETWORKDAYS.INTL($R$3,$R$4,1,DIAS!$F$51:$J$54)</f>
        <v>22</v>
      </c>
      <c r="S20" s="53">
        <f>NETWORKDAYS.INTL($S$3,$S$4,1,DIAS!$F$51:$J$54)</f>
        <v>22</v>
      </c>
      <c r="T20" s="53">
        <f>NETWORKDAYS.INTL($T$3,$T$4,1,DIAS!$F$51:$J$54)</f>
        <v>20</v>
      </c>
      <c r="U20" s="115">
        <f>NETWORKDAYS.INTL($U$3,$G$20,1,DIAS!$F$51:$J$54)</f>
        <v>5</v>
      </c>
      <c r="V20" s="114">
        <f t="shared" si="1"/>
        <v>234</v>
      </c>
      <c r="X20" s="53">
        <f>SUMIFS(DIAS!$L$11:$L$47,DIAS!$A$11:$A$47,X$5,DIAS!$B$11:$B$47,$B20)</f>
        <v>0</v>
      </c>
      <c r="Y20" s="53">
        <f>SUMIFS(DIAS!$L$11:$L$47,DIAS!$A$11:$A$47,Y$5,DIAS!$B$11:$B$47,$B20)</f>
        <v>0</v>
      </c>
      <c r="Z20" s="53">
        <f>SUMIFS(DIAS!$L$11:$L$47,DIAS!$A$11:$A$47,Z$5,DIAS!$B$11:$B$47,$B20)</f>
        <v>0</v>
      </c>
      <c r="AA20" s="53">
        <f>SUMIFS(DIAS!$L$11:$L$47,DIAS!$A$11:$A$47,AA$5,DIAS!$B$11:$B$47,$B20)</f>
        <v>0</v>
      </c>
      <c r="AB20" s="53">
        <f>SUMIFS(DIAS!$L$11:$L$47,DIAS!$A$11:$A$47,AB$5,DIAS!$B$11:$B$47,$B20)</f>
        <v>0</v>
      </c>
      <c r="AC20" s="53">
        <f>SUMIFS(DIAS!$L$11:$L$47,DIAS!$A$11:$A$47,AC$5,DIAS!$B$11:$B$47,$B20)</f>
        <v>0</v>
      </c>
      <c r="AD20" s="53">
        <f>SUMIFS(DIAS!$L$11:$L$47,DIAS!$A$11:$A$47,AD$5,DIAS!$B$11:$B$47,$B20)</f>
        <v>0</v>
      </c>
      <c r="AE20" s="53">
        <f>SUMIFS(DIAS!$L$11:$L$47,DIAS!$A$11:$A$47,AE$5,DIAS!$B$11:$B$47,$B20)</f>
        <v>17</v>
      </c>
      <c r="AF20" s="53">
        <f>SUMIFS(DIAS!$L$11:$L$47,DIAS!$A$11:$A$47,AF$5,DIAS!$B$11:$B$47,$B20)</f>
        <v>0</v>
      </c>
      <c r="AG20" s="53">
        <f>SUMIFS(DIAS!$L$11:$L$47,DIAS!$A$11:$A$47,AG$5,DIAS!$B$11:$B$47,$B20)</f>
        <v>0</v>
      </c>
      <c r="AH20" s="53">
        <f>SUMIFS(DIAS!$L$11:$L$47,DIAS!$A$11:$A$47,AH$5,DIAS!$B$11:$B$47,$B20)</f>
        <v>0</v>
      </c>
      <c r="AI20" s="53">
        <f>SUMIFS(DIAS!$L$11:$L$47,DIAS!$A$11:$A$47,AI$5,DIAS!$B$11:$B$47,$B20)</f>
        <v>0</v>
      </c>
      <c r="AJ20" s="114">
        <f t="shared" si="2"/>
        <v>17</v>
      </c>
      <c r="AL20" s="53">
        <f t="shared" si="3"/>
        <v>22</v>
      </c>
      <c r="AM20" s="53">
        <f t="shared" si="4"/>
        <v>20</v>
      </c>
      <c r="AN20" s="53">
        <f t="shared" si="5"/>
        <v>21</v>
      </c>
      <c r="AO20" s="53">
        <f t="shared" si="6"/>
        <v>20</v>
      </c>
      <c r="AP20" s="53">
        <f t="shared" si="7"/>
        <v>21</v>
      </c>
      <c r="AQ20" s="53">
        <f t="shared" si="8"/>
        <v>21</v>
      </c>
      <c r="AR20" s="53">
        <f t="shared" si="9"/>
        <v>20</v>
      </c>
      <c r="AS20" s="53">
        <f t="shared" si="10"/>
        <v>3</v>
      </c>
      <c r="AT20" s="53">
        <f t="shared" si="11"/>
        <v>22</v>
      </c>
      <c r="AU20" s="53">
        <f t="shared" si="12"/>
        <v>22</v>
      </c>
      <c r="AV20" s="53">
        <f t="shared" si="13"/>
        <v>20</v>
      </c>
      <c r="AW20" s="53">
        <f t="shared" si="14"/>
        <v>5</v>
      </c>
      <c r="AX20" s="114">
        <f t="shared" si="15"/>
        <v>217</v>
      </c>
    </row>
    <row r="21" spans="1:50" x14ac:dyDescent="0.3">
      <c r="J21" s="1">
        <f>SUM(J6:J20)</f>
        <v>330</v>
      </c>
      <c r="K21" s="1">
        <f t="shared" ref="K21:U21" si="16">SUM(K6:K20)</f>
        <v>300</v>
      </c>
      <c r="L21" s="1">
        <f t="shared" si="16"/>
        <v>315</v>
      </c>
      <c r="M21" s="1">
        <f t="shared" si="16"/>
        <v>300</v>
      </c>
      <c r="N21" s="1">
        <f t="shared" si="16"/>
        <v>315</v>
      </c>
      <c r="O21" s="1">
        <f t="shared" si="16"/>
        <v>315</v>
      </c>
      <c r="P21" s="1">
        <f t="shared" si="16"/>
        <v>300</v>
      </c>
      <c r="Q21" s="1">
        <f t="shared" si="16"/>
        <v>300</v>
      </c>
      <c r="R21" s="1">
        <f t="shared" si="16"/>
        <v>330</v>
      </c>
      <c r="S21" s="1">
        <f t="shared" si="16"/>
        <v>330</v>
      </c>
      <c r="T21" s="1">
        <f t="shared" si="16"/>
        <v>300</v>
      </c>
      <c r="U21" s="1">
        <f t="shared" si="16"/>
        <v>285</v>
      </c>
      <c r="V21" s="113">
        <f t="shared" si="1"/>
        <v>3720</v>
      </c>
      <c r="X21" s="1">
        <f>SUM(X6:X20)</f>
        <v>42</v>
      </c>
      <c r="Y21" s="1">
        <f t="shared" ref="Y21:AI21" si="17">SUM(Y6:Y20)</f>
        <v>46</v>
      </c>
      <c r="Z21" s="1">
        <f t="shared" si="17"/>
        <v>25</v>
      </c>
      <c r="AA21" s="1">
        <f t="shared" si="17"/>
        <v>24</v>
      </c>
      <c r="AB21" s="1">
        <f t="shared" si="17"/>
        <v>18</v>
      </c>
      <c r="AC21" s="1">
        <f t="shared" si="17"/>
        <v>25</v>
      </c>
      <c r="AD21" s="1">
        <f t="shared" si="17"/>
        <v>42</v>
      </c>
      <c r="AE21" s="1">
        <f t="shared" si="17"/>
        <v>19</v>
      </c>
      <c r="AF21" s="1">
        <f t="shared" si="17"/>
        <v>15</v>
      </c>
      <c r="AG21" s="1">
        <f t="shared" si="17"/>
        <v>22</v>
      </c>
      <c r="AH21" s="1">
        <f t="shared" si="17"/>
        <v>23</v>
      </c>
      <c r="AI21" s="1">
        <f t="shared" si="17"/>
        <v>8</v>
      </c>
      <c r="AJ21" s="113">
        <f>SUM(X21:AI21)</f>
        <v>309</v>
      </c>
      <c r="AL21" s="1">
        <f>SUM(AL6:AL20)</f>
        <v>288</v>
      </c>
      <c r="AM21" s="1">
        <f t="shared" ref="AM21:AW21" si="18">SUM(AM6:AM20)</f>
        <v>254</v>
      </c>
      <c r="AN21" s="1">
        <f t="shared" si="18"/>
        <v>290</v>
      </c>
      <c r="AO21" s="1">
        <f t="shared" si="18"/>
        <v>276</v>
      </c>
      <c r="AP21" s="1">
        <f t="shared" si="18"/>
        <v>297</v>
      </c>
      <c r="AQ21" s="1">
        <f t="shared" si="18"/>
        <v>290</v>
      </c>
      <c r="AR21" s="1">
        <f t="shared" si="18"/>
        <v>258</v>
      </c>
      <c r="AS21" s="1">
        <f t="shared" si="18"/>
        <v>281</v>
      </c>
      <c r="AT21" s="1">
        <f t="shared" si="18"/>
        <v>315</v>
      </c>
      <c r="AU21" s="1">
        <f t="shared" si="18"/>
        <v>308</v>
      </c>
      <c r="AV21" s="1">
        <f t="shared" si="18"/>
        <v>277</v>
      </c>
      <c r="AW21" s="1">
        <f t="shared" si="18"/>
        <v>277</v>
      </c>
      <c r="AX21" s="113">
        <f>SUM(AX6:AX20)</f>
        <v>3411</v>
      </c>
    </row>
  </sheetData>
  <mergeCells count="6">
    <mergeCell ref="C5:E5"/>
    <mergeCell ref="J2:U2"/>
    <mergeCell ref="X2:AI2"/>
    <mergeCell ref="AL2:AW2"/>
    <mergeCell ref="H3:I3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50B8-FE99-4154-AA87-1D380B240FC9}">
  <dimension ref="A3:S28"/>
  <sheetViews>
    <sheetView tabSelected="1" workbookViewId="0">
      <selection activeCell="L6" sqref="L6"/>
    </sheetView>
  </sheetViews>
  <sheetFormatPr baseColWidth="10" defaultRowHeight="14.4" x14ac:dyDescent="0.3"/>
  <cols>
    <col min="2" max="2" width="9.5546875" customWidth="1"/>
    <col min="3" max="3" width="26.6640625" customWidth="1"/>
    <col min="14" max="15" width="11.5546875" customWidth="1"/>
  </cols>
  <sheetData>
    <row r="3" spans="1:19" x14ac:dyDescent="0.3">
      <c r="B3" s="111" t="s">
        <v>271</v>
      </c>
    </row>
    <row r="5" spans="1:19" ht="36" x14ac:dyDescent="0.3">
      <c r="B5" s="97" t="s">
        <v>94</v>
      </c>
      <c r="C5" s="97" t="s">
        <v>103</v>
      </c>
      <c r="D5" s="97" t="s">
        <v>221</v>
      </c>
      <c r="E5" s="97" t="s">
        <v>217</v>
      </c>
      <c r="F5" s="98" t="s">
        <v>204</v>
      </c>
      <c r="G5" s="98" t="s">
        <v>218</v>
      </c>
      <c r="H5" s="98" t="s">
        <v>219</v>
      </c>
      <c r="J5" s="98" t="s">
        <v>227</v>
      </c>
      <c r="K5" s="98" t="s">
        <v>228</v>
      </c>
      <c r="L5" s="98" t="s">
        <v>229</v>
      </c>
      <c r="M5" s="98" t="s">
        <v>230</v>
      </c>
      <c r="N5" s="98" t="s">
        <v>231</v>
      </c>
      <c r="O5" s="98" t="s">
        <v>140</v>
      </c>
      <c r="P5" s="98" t="s">
        <v>232</v>
      </c>
      <c r="R5" s="98" t="s">
        <v>233</v>
      </c>
      <c r="S5" s="98" t="s">
        <v>234</v>
      </c>
    </row>
    <row r="6" spans="1:19" x14ac:dyDescent="0.3">
      <c r="A6">
        <v>1</v>
      </c>
      <c r="B6" s="20" t="s">
        <v>51</v>
      </c>
      <c r="C6" s="20" t="s">
        <v>77</v>
      </c>
      <c r="D6" s="99"/>
      <c r="E6" s="5">
        <v>45658</v>
      </c>
      <c r="F6" s="5">
        <v>46022</v>
      </c>
      <c r="G6" s="99">
        <f>VLOOKUP(B6,DIAS!$B$57:$L$71,11,)</f>
        <v>237</v>
      </c>
      <c r="H6" s="100">
        <f>VLOOKUP(B6,REM!$B$4:$U$18,20,)</f>
        <v>39060</v>
      </c>
      <c r="J6" s="106">
        <f>+G6*$H$27</f>
        <v>1752.8437664907651</v>
      </c>
      <c r="K6" s="106">
        <f>+H6*$H$28</f>
        <v>1035.1094963877949</v>
      </c>
      <c r="L6" s="107">
        <f>+ROUND(J6+K6,2)</f>
        <v>2787.95</v>
      </c>
      <c r="M6" s="101">
        <f>+ROUND(L6*R6,2)</f>
        <v>223.04</v>
      </c>
      <c r="N6" s="102"/>
      <c r="O6" s="102"/>
      <c r="P6" s="103">
        <f>+ROUND(L6-M6-N6-O6,2)</f>
        <v>2564.91</v>
      </c>
      <c r="R6" s="108">
        <f>HLOOKUP(B6,'5TA'!$B$2:$O$23,22,FALSE)</f>
        <v>0.08</v>
      </c>
      <c r="S6" s="108" t="s">
        <v>234</v>
      </c>
    </row>
    <row r="7" spans="1:19" x14ac:dyDescent="0.3">
      <c r="A7">
        <v>2</v>
      </c>
      <c r="B7" s="20" t="s">
        <v>61</v>
      </c>
      <c r="C7" s="20" t="s">
        <v>78</v>
      </c>
      <c r="D7" s="99"/>
      <c r="E7" s="5">
        <v>45658</v>
      </c>
      <c r="F7" s="5">
        <v>46022</v>
      </c>
      <c r="G7" s="99">
        <f>VLOOKUP(B7,DIAS!$B$57:$L$71,11,)</f>
        <v>230</v>
      </c>
      <c r="H7" s="100">
        <f>VLOOKUP(B7,REM!$B$4:$U$18,20,)</f>
        <v>45440</v>
      </c>
      <c r="J7" s="106">
        <f t="shared" ref="J7:J20" si="0">+G7*$H$27</f>
        <v>1701.0720096745822</v>
      </c>
      <c r="K7" s="106">
        <f t="shared" ref="K7:K20" si="1">+H7*$H$28</f>
        <v>1204.1826808976296</v>
      </c>
      <c r="L7" s="107">
        <f t="shared" ref="L7:L20" si="2">+ROUND(J7+K7,2)</f>
        <v>2905.25</v>
      </c>
      <c r="M7" s="101">
        <f t="shared" ref="M7:M19" si="3">+ROUND(L7*R7,2)</f>
        <v>232.42</v>
      </c>
      <c r="N7" s="102"/>
      <c r="O7" s="102"/>
      <c r="P7" s="103">
        <f t="shared" ref="P7:P20" si="4">+ROUND(L7-M7-N7-O7,2)</f>
        <v>2672.83</v>
      </c>
      <c r="R7" s="108">
        <f>HLOOKUP(B7,'5TA'!$B$2:$O$23,22,FALSE)</f>
        <v>0.08</v>
      </c>
      <c r="S7" s="108" t="s">
        <v>234</v>
      </c>
    </row>
    <row r="8" spans="1:19" x14ac:dyDescent="0.3">
      <c r="A8">
        <v>3</v>
      </c>
      <c r="B8" s="20" t="s">
        <v>47</v>
      </c>
      <c r="C8" s="20" t="s">
        <v>79</v>
      </c>
      <c r="D8" s="99"/>
      <c r="E8" s="5">
        <v>45658</v>
      </c>
      <c r="F8" s="5">
        <v>46022</v>
      </c>
      <c r="G8" s="99">
        <f>VLOOKUP(B8,DIAS!$B$57:$L$71,11,)</f>
        <v>229</v>
      </c>
      <c r="H8" s="100">
        <f>VLOOKUP(B8,REM!$B$4:$U$18,20,)</f>
        <v>55700</v>
      </c>
      <c r="J8" s="106">
        <f t="shared" si="0"/>
        <v>1693.6760444151275</v>
      </c>
      <c r="K8" s="106">
        <f t="shared" si="1"/>
        <v>1476.0778020686171</v>
      </c>
      <c r="L8" s="107">
        <f t="shared" si="2"/>
        <v>3169.75</v>
      </c>
      <c r="M8" s="101">
        <f t="shared" si="3"/>
        <v>253.58</v>
      </c>
      <c r="N8" s="102"/>
      <c r="O8" s="102"/>
      <c r="P8" s="103">
        <f t="shared" si="4"/>
        <v>2916.17</v>
      </c>
      <c r="R8" s="108">
        <f>HLOOKUP(B8,'5TA'!$B$2:$O$23,22,FALSE)</f>
        <v>0.08</v>
      </c>
      <c r="S8" s="108" t="s">
        <v>234</v>
      </c>
    </row>
    <row r="9" spans="1:19" x14ac:dyDescent="0.3">
      <c r="A9">
        <v>4</v>
      </c>
      <c r="B9" s="20" t="s">
        <v>58</v>
      </c>
      <c r="C9" s="20" t="s">
        <v>80</v>
      </c>
      <c r="D9" s="99"/>
      <c r="E9" s="5">
        <v>45658</v>
      </c>
      <c r="F9" s="5">
        <v>46022</v>
      </c>
      <c r="G9" s="99">
        <f>VLOOKUP(B9,DIAS!$B$57:$L$71,11,)</f>
        <v>234</v>
      </c>
      <c r="H9" s="100">
        <f>VLOOKUP(B9,REM!$B$4:$U$18,20,)</f>
        <v>57782</v>
      </c>
      <c r="J9" s="106">
        <f t="shared" si="0"/>
        <v>1730.6558707124011</v>
      </c>
      <c r="K9" s="106">
        <f t="shared" si="1"/>
        <v>1531.2518412769987</v>
      </c>
      <c r="L9" s="107">
        <f t="shared" si="2"/>
        <v>3261.91</v>
      </c>
      <c r="M9" s="101">
        <f t="shared" si="3"/>
        <v>260.95</v>
      </c>
      <c r="N9" s="102"/>
      <c r="O9" s="102"/>
      <c r="P9" s="103">
        <f t="shared" si="4"/>
        <v>3000.96</v>
      </c>
      <c r="R9" s="108">
        <f>HLOOKUP(B9,'5TA'!$B$2:$O$23,22,FALSE)</f>
        <v>0.08</v>
      </c>
      <c r="S9" s="108" t="s">
        <v>234</v>
      </c>
    </row>
    <row r="10" spans="1:19" x14ac:dyDescent="0.3">
      <c r="A10">
        <v>5</v>
      </c>
      <c r="B10" s="20" t="s">
        <v>27</v>
      </c>
      <c r="C10" s="20" t="s">
        <v>81</v>
      </c>
      <c r="D10" s="99"/>
      <c r="E10" s="5">
        <v>45658</v>
      </c>
      <c r="F10" s="5">
        <v>46022</v>
      </c>
      <c r="G10" s="99">
        <f>VLOOKUP(B10,DIAS!$B$57:$L$71,11,)</f>
        <v>223</v>
      </c>
      <c r="H10" s="100">
        <f>VLOOKUP(B10,REM!$B$4:$U$18,20,)</f>
        <v>56582</v>
      </c>
      <c r="J10" s="106">
        <f t="shared" si="0"/>
        <v>1649.3002528583993</v>
      </c>
      <c r="K10" s="106">
        <f t="shared" si="1"/>
        <v>1499.4512423096319</v>
      </c>
      <c r="L10" s="107">
        <f t="shared" si="2"/>
        <v>3148.75</v>
      </c>
      <c r="M10" s="101">
        <f t="shared" si="3"/>
        <v>251.9</v>
      </c>
      <c r="N10" s="102"/>
      <c r="O10" s="102"/>
      <c r="P10" s="103">
        <f t="shared" si="4"/>
        <v>2896.85</v>
      </c>
      <c r="R10" s="108">
        <f>HLOOKUP(B10,'5TA'!$B$2:$O$23,22,FALSE)</f>
        <v>0.08</v>
      </c>
      <c r="S10" s="108" t="s">
        <v>234</v>
      </c>
    </row>
    <row r="11" spans="1:19" x14ac:dyDescent="0.3">
      <c r="A11">
        <v>6</v>
      </c>
      <c r="B11" s="20" t="s">
        <v>72</v>
      </c>
      <c r="C11" s="20" t="s">
        <v>82</v>
      </c>
      <c r="D11" s="99"/>
      <c r="E11" s="5">
        <v>45658</v>
      </c>
      <c r="F11" s="5">
        <v>46022</v>
      </c>
      <c r="G11" s="99">
        <f>VLOOKUP(B11,DIAS!$B$57:$L$71,11,)</f>
        <v>231</v>
      </c>
      <c r="H11" s="100">
        <f>VLOOKUP(B11,REM!$B$4:$U$18,20,)</f>
        <v>36500</v>
      </c>
      <c r="J11" s="106">
        <f t="shared" si="0"/>
        <v>1708.4679749340369</v>
      </c>
      <c r="K11" s="106">
        <f t="shared" si="1"/>
        <v>967.26821859074551</v>
      </c>
      <c r="L11" s="107">
        <f t="shared" si="2"/>
        <v>2675.74</v>
      </c>
      <c r="M11" s="101">
        <f t="shared" si="3"/>
        <v>0</v>
      </c>
      <c r="N11" s="102"/>
      <c r="O11" s="102"/>
      <c r="P11" s="103">
        <f t="shared" si="4"/>
        <v>2675.74</v>
      </c>
      <c r="R11" s="108">
        <f>HLOOKUP(B11,'5TA'!$B$2:$O$23,22,FALSE)</f>
        <v>0</v>
      </c>
      <c r="S11" s="108" t="s">
        <v>234</v>
      </c>
    </row>
    <row r="12" spans="1:19" x14ac:dyDescent="0.3">
      <c r="A12">
        <v>7</v>
      </c>
      <c r="B12" s="20" t="s">
        <v>24</v>
      </c>
      <c r="C12" s="20" t="s">
        <v>83</v>
      </c>
      <c r="D12" s="99"/>
      <c r="E12" s="5">
        <v>45658</v>
      </c>
      <c r="F12" s="5">
        <v>46022</v>
      </c>
      <c r="G12" s="99">
        <f>VLOOKUP(B12,DIAS!$B$57:$L$71,11,)</f>
        <v>229</v>
      </c>
      <c r="H12" s="100">
        <f>VLOOKUP(B12,REM!$B$4:$U$18,20,)</f>
        <v>210000</v>
      </c>
      <c r="J12" s="106">
        <f t="shared" si="0"/>
        <v>1693.6760444151275</v>
      </c>
      <c r="K12" s="106">
        <f t="shared" si="1"/>
        <v>5565.1048192892204</v>
      </c>
      <c r="L12" s="107">
        <f t="shared" si="2"/>
        <v>7258.78</v>
      </c>
      <c r="M12" s="101">
        <f t="shared" si="3"/>
        <v>1233.99</v>
      </c>
      <c r="N12" s="102"/>
      <c r="O12" s="102"/>
      <c r="P12" s="103">
        <f t="shared" si="4"/>
        <v>6024.79</v>
      </c>
      <c r="R12" s="108">
        <f>HLOOKUP(B12,'5TA'!$B$2:$O$23,22,FALSE)</f>
        <v>0.17</v>
      </c>
      <c r="S12" s="108" t="s">
        <v>234</v>
      </c>
    </row>
    <row r="13" spans="1:19" x14ac:dyDescent="0.3">
      <c r="A13">
        <v>8</v>
      </c>
      <c r="B13" s="20" t="s">
        <v>33</v>
      </c>
      <c r="C13" s="20" t="s">
        <v>84</v>
      </c>
      <c r="D13" s="99"/>
      <c r="E13" s="5">
        <v>45658</v>
      </c>
      <c r="F13" s="5">
        <v>46022</v>
      </c>
      <c r="G13" s="99">
        <f>VLOOKUP(B13,DIAS!$B$57:$L$71,11,)</f>
        <v>229</v>
      </c>
      <c r="H13" s="100">
        <f>VLOOKUP(B13,REM!$B$4:$U$18,20,)</f>
        <v>141582</v>
      </c>
      <c r="J13" s="106">
        <f t="shared" si="0"/>
        <v>1693.6760444151275</v>
      </c>
      <c r="K13" s="106">
        <f t="shared" si="1"/>
        <v>3751.9936691647927</v>
      </c>
      <c r="L13" s="107">
        <f t="shared" si="2"/>
        <v>5445.67</v>
      </c>
      <c r="M13" s="101">
        <f t="shared" si="3"/>
        <v>762.39</v>
      </c>
      <c r="N13" s="102"/>
      <c r="O13" s="102"/>
      <c r="P13" s="103">
        <f t="shared" si="4"/>
        <v>4683.28</v>
      </c>
      <c r="R13" s="108">
        <f>HLOOKUP(B13,'5TA'!$B$2:$O$23,22,FALSE)</f>
        <v>0.14000000000000001</v>
      </c>
      <c r="S13" s="108" t="s">
        <v>234</v>
      </c>
    </row>
    <row r="14" spans="1:19" x14ac:dyDescent="0.3">
      <c r="A14">
        <v>9</v>
      </c>
      <c r="B14" s="20" t="s">
        <v>18</v>
      </c>
      <c r="C14" s="20" t="s">
        <v>85</v>
      </c>
      <c r="D14" s="99"/>
      <c r="E14" s="5">
        <v>45658</v>
      </c>
      <c r="F14" s="5">
        <v>46022</v>
      </c>
      <c r="G14" s="99">
        <f>VLOOKUP(B14,DIAS!$B$57:$L$71,11,)</f>
        <v>229</v>
      </c>
      <c r="H14" s="100">
        <f>VLOOKUP(B14,REM!$B$4:$U$18,20,)</f>
        <v>53200</v>
      </c>
      <c r="J14" s="106">
        <f t="shared" si="0"/>
        <v>1693.6760444151275</v>
      </c>
      <c r="K14" s="106">
        <f t="shared" si="1"/>
        <v>1409.8265542199358</v>
      </c>
      <c r="L14" s="107">
        <f t="shared" si="2"/>
        <v>3103.5</v>
      </c>
      <c r="M14" s="101">
        <f t="shared" si="3"/>
        <v>248.28</v>
      </c>
      <c r="N14" s="102"/>
      <c r="O14" s="102"/>
      <c r="P14" s="103">
        <f t="shared" si="4"/>
        <v>2855.22</v>
      </c>
      <c r="R14" s="108">
        <f>HLOOKUP(B14,'5TA'!$B$2:$O$23,22,FALSE)</f>
        <v>0.08</v>
      </c>
      <c r="S14" s="108" t="s">
        <v>234</v>
      </c>
    </row>
    <row r="15" spans="1:19" x14ac:dyDescent="0.3">
      <c r="A15">
        <v>10</v>
      </c>
      <c r="B15" s="20" t="s">
        <v>35</v>
      </c>
      <c r="C15" s="20" t="s">
        <v>86</v>
      </c>
      <c r="D15" s="99"/>
      <c r="E15" s="5">
        <v>45658</v>
      </c>
      <c r="F15" s="5">
        <v>46022</v>
      </c>
      <c r="G15" s="99">
        <f>VLOOKUP(B15,DIAS!$B$57:$L$71,11,)</f>
        <v>225</v>
      </c>
      <c r="H15" s="100">
        <f>VLOOKUP(B15,REM!$B$4:$U$18,20,)</f>
        <v>40882</v>
      </c>
      <c r="J15" s="106">
        <f t="shared" si="0"/>
        <v>1664.0921833773086</v>
      </c>
      <c r="K15" s="106">
        <f t="shared" si="1"/>
        <v>1083.3934058199138</v>
      </c>
      <c r="L15" s="107">
        <f t="shared" si="2"/>
        <v>2747.49</v>
      </c>
      <c r="M15" s="101">
        <f t="shared" si="3"/>
        <v>219.8</v>
      </c>
      <c r="N15" s="102"/>
      <c r="O15" s="102"/>
      <c r="P15" s="103">
        <f t="shared" si="4"/>
        <v>2527.69</v>
      </c>
      <c r="R15" s="108">
        <f>HLOOKUP(B15,'5TA'!$B$2:$O$23,22,FALSE)</f>
        <v>0.08</v>
      </c>
      <c r="S15" s="108" t="s">
        <v>234</v>
      </c>
    </row>
    <row r="16" spans="1:19" x14ac:dyDescent="0.3">
      <c r="A16">
        <v>11</v>
      </c>
      <c r="B16" s="20" t="s">
        <v>43</v>
      </c>
      <c r="C16" s="20" t="s">
        <v>87</v>
      </c>
      <c r="D16" s="99"/>
      <c r="E16" s="5">
        <v>45658</v>
      </c>
      <c r="F16" s="5">
        <v>46022</v>
      </c>
      <c r="G16" s="99">
        <f>VLOOKUP(B16,DIAS!$B$57:$L$71,11,)</f>
        <v>227</v>
      </c>
      <c r="H16" s="100">
        <f>VLOOKUP(B16,REM!$B$4:$U$18,20,)</f>
        <v>40782</v>
      </c>
      <c r="J16" s="106">
        <f t="shared" si="0"/>
        <v>1678.884113896218</v>
      </c>
      <c r="K16" s="106">
        <f t="shared" si="1"/>
        <v>1080.7433559059666</v>
      </c>
      <c r="L16" s="107">
        <f t="shared" si="2"/>
        <v>2759.63</v>
      </c>
      <c r="M16" s="101">
        <f t="shared" si="3"/>
        <v>220.77</v>
      </c>
      <c r="N16" s="102"/>
      <c r="O16" s="102"/>
      <c r="P16" s="103">
        <f t="shared" si="4"/>
        <v>2538.86</v>
      </c>
      <c r="R16" s="108">
        <f>HLOOKUP(B16,'5TA'!$B$2:$O$23,22,FALSE)</f>
        <v>0.08</v>
      </c>
      <c r="S16" s="108" t="s">
        <v>234</v>
      </c>
    </row>
    <row r="17" spans="1:19" x14ac:dyDescent="0.3">
      <c r="A17">
        <v>12</v>
      </c>
      <c r="B17" s="20" t="s">
        <v>55</v>
      </c>
      <c r="C17" s="20" t="s">
        <v>88</v>
      </c>
      <c r="D17" s="99"/>
      <c r="E17" s="5">
        <v>45658</v>
      </c>
      <c r="F17" s="5">
        <v>46022</v>
      </c>
      <c r="G17" s="99">
        <f>VLOOKUP(B17,DIAS!$B$57:$L$71,11,)</f>
        <v>231</v>
      </c>
      <c r="H17" s="100">
        <f>VLOOKUP(B17,REM!$B$4:$U$18,20,)</f>
        <v>49000</v>
      </c>
      <c r="J17" s="106">
        <f t="shared" si="0"/>
        <v>1708.4679749340369</v>
      </c>
      <c r="K17" s="106">
        <f t="shared" si="1"/>
        <v>1298.5244578341515</v>
      </c>
      <c r="L17" s="107">
        <f t="shared" si="2"/>
        <v>3006.99</v>
      </c>
      <c r="M17" s="101">
        <f t="shared" si="3"/>
        <v>240.56</v>
      </c>
      <c r="N17" s="102"/>
      <c r="O17" s="102"/>
      <c r="P17" s="103">
        <f t="shared" si="4"/>
        <v>2766.43</v>
      </c>
      <c r="R17" s="108">
        <f>HLOOKUP(B17,'5TA'!$B$2:$O$23,22,FALSE)</f>
        <v>0.08</v>
      </c>
      <c r="S17" s="108" t="s">
        <v>234</v>
      </c>
    </row>
    <row r="18" spans="1:19" x14ac:dyDescent="0.3">
      <c r="A18">
        <v>13</v>
      </c>
      <c r="B18" s="20" t="s">
        <v>65</v>
      </c>
      <c r="C18" s="20" t="s">
        <v>89</v>
      </c>
      <c r="D18" s="99"/>
      <c r="E18" s="5">
        <v>45658</v>
      </c>
      <c r="F18" s="5">
        <v>46022</v>
      </c>
      <c r="G18" s="99">
        <f>VLOOKUP(B18,DIAS!$B$57:$L$71,11,)</f>
        <v>225</v>
      </c>
      <c r="H18" s="100">
        <f>VLOOKUP(B18,REM!$B$4:$U$18,20,)</f>
        <v>46082</v>
      </c>
      <c r="J18" s="106">
        <f t="shared" si="0"/>
        <v>1664.0921833773086</v>
      </c>
      <c r="K18" s="106">
        <f t="shared" si="1"/>
        <v>1221.1960013451708</v>
      </c>
      <c r="L18" s="107">
        <f t="shared" si="2"/>
        <v>2885.29</v>
      </c>
      <c r="M18" s="101">
        <f t="shared" si="3"/>
        <v>230.82</v>
      </c>
      <c r="N18" s="102"/>
      <c r="O18" s="102"/>
      <c r="P18" s="103">
        <f t="shared" si="4"/>
        <v>2654.47</v>
      </c>
      <c r="R18" s="108">
        <f>HLOOKUP(B18,'5TA'!$B$2:$O$23,22,FALSE)</f>
        <v>0.08</v>
      </c>
      <c r="S18" s="108" t="s">
        <v>234</v>
      </c>
    </row>
    <row r="19" spans="1:19" x14ac:dyDescent="0.3">
      <c r="A19">
        <v>14</v>
      </c>
      <c r="B19" s="20" t="s">
        <v>39</v>
      </c>
      <c r="C19" s="20" t="s">
        <v>90</v>
      </c>
      <c r="D19" s="99"/>
      <c r="E19" s="5">
        <v>45658</v>
      </c>
      <c r="F19" s="5">
        <v>46022</v>
      </c>
      <c r="G19" s="99">
        <f>VLOOKUP(B19,DIAS!$B$57:$L$71,11,)</f>
        <v>215</v>
      </c>
      <c r="H19" s="100">
        <f>VLOOKUP(B19,REM!$B$4:$U$18,20,)</f>
        <v>45800</v>
      </c>
      <c r="J19" s="106">
        <f t="shared" si="0"/>
        <v>1590.1325307827617</v>
      </c>
      <c r="K19" s="106">
        <f t="shared" si="1"/>
        <v>1213.7228605878395</v>
      </c>
      <c r="L19" s="107">
        <f t="shared" si="2"/>
        <v>2803.86</v>
      </c>
      <c r="M19" s="101">
        <f t="shared" si="3"/>
        <v>224.31</v>
      </c>
      <c r="N19" s="102"/>
      <c r="O19" s="102"/>
      <c r="P19" s="103">
        <f t="shared" si="4"/>
        <v>2579.5500000000002</v>
      </c>
      <c r="R19" s="108">
        <f>HLOOKUP(B19,'5TA'!$B$2:$O$23,22,FALSE)</f>
        <v>0.08</v>
      </c>
      <c r="S19" s="108" t="s">
        <v>234</v>
      </c>
    </row>
    <row r="20" spans="1:19" x14ac:dyDescent="0.3">
      <c r="A20">
        <v>15</v>
      </c>
      <c r="B20" s="59" t="s">
        <v>68</v>
      </c>
      <c r="C20" s="59" t="s">
        <v>91</v>
      </c>
      <c r="D20" s="99"/>
      <c r="E20" s="5">
        <v>45658</v>
      </c>
      <c r="F20" s="5">
        <v>45996</v>
      </c>
      <c r="G20" s="99">
        <f>VLOOKUP(B20,DIAS!$B$57:$L$71,11,)</f>
        <v>217</v>
      </c>
      <c r="H20" s="100">
        <f>VLOOKUP(B20,REM!$B$4:$U$18,20,)</f>
        <v>33576.39</v>
      </c>
      <c r="J20" s="106">
        <f t="shared" si="0"/>
        <v>1604.924461301671</v>
      </c>
      <c r="K20" s="106">
        <f t="shared" si="1"/>
        <v>889.79109430159235</v>
      </c>
      <c r="L20" s="107">
        <f t="shared" si="2"/>
        <v>2494.7199999999998</v>
      </c>
      <c r="M20" s="101"/>
      <c r="N20" s="102"/>
      <c r="O20" s="102"/>
      <c r="P20" s="103">
        <f t="shared" si="4"/>
        <v>2494.7199999999998</v>
      </c>
      <c r="R20" s="108"/>
      <c r="S20" s="108"/>
    </row>
    <row r="21" spans="1:19" x14ac:dyDescent="0.3">
      <c r="G21" s="110">
        <f>SUM(G6:G20)</f>
        <v>3411</v>
      </c>
      <c r="H21" s="110">
        <f>SUM(H6:H20)</f>
        <v>951968.39</v>
      </c>
      <c r="J21" s="104">
        <f>SUM(J6:J20)</f>
        <v>25227.637500000001</v>
      </c>
      <c r="K21" s="104">
        <f>SUM(K6:K20)</f>
        <v>25227.637500000008</v>
      </c>
      <c r="L21" s="105">
        <f>SUM(L6:L20)</f>
        <v>50455.279999999992</v>
      </c>
      <c r="M21" s="105">
        <f>SUM(M6:M20)</f>
        <v>4602.8100000000004</v>
      </c>
      <c r="N21" s="102"/>
      <c r="O21" s="102"/>
      <c r="P21" s="103">
        <f t="shared" ref="P21" si="5">+ROUND(L21-M21-N21-O21,2)</f>
        <v>45852.47</v>
      </c>
    </row>
    <row r="23" spans="1:19" x14ac:dyDescent="0.3">
      <c r="E23" s="60" t="s">
        <v>222</v>
      </c>
      <c r="F23" s="61"/>
      <c r="G23" s="61"/>
      <c r="H23" s="62">
        <v>1009105.5</v>
      </c>
    </row>
    <row r="24" spans="1:19" x14ac:dyDescent="0.3">
      <c r="E24" s="63" t="s">
        <v>223</v>
      </c>
      <c r="F24" s="64"/>
      <c r="G24" s="64"/>
      <c r="H24" s="65">
        <v>0.05</v>
      </c>
    </row>
    <row r="25" spans="1:19" x14ac:dyDescent="0.3">
      <c r="E25" s="63" t="s">
        <v>224</v>
      </c>
      <c r="F25" s="64"/>
      <c r="G25" s="64"/>
      <c r="H25" s="66">
        <f>H23*H24</f>
        <v>50455.275000000001</v>
      </c>
    </row>
    <row r="26" spans="1:19" x14ac:dyDescent="0.3">
      <c r="E26" s="67"/>
      <c r="F26" s="64"/>
      <c r="G26" s="68"/>
      <c r="H26" s="69"/>
    </row>
    <row r="27" spans="1:19" x14ac:dyDescent="0.3">
      <c r="E27" s="63" t="s">
        <v>225</v>
      </c>
      <c r="F27" s="64"/>
      <c r="G27" s="70">
        <v>0.5</v>
      </c>
      <c r="H27" s="71">
        <f>H25/2/G21</f>
        <v>7.3959652594547052</v>
      </c>
    </row>
    <row r="28" spans="1:19" x14ac:dyDescent="0.3">
      <c r="E28" s="72" t="s">
        <v>226</v>
      </c>
      <c r="F28" s="73"/>
      <c r="G28" s="74">
        <v>0.5</v>
      </c>
      <c r="H28" s="75">
        <f>+H25/2/H21</f>
        <v>2.6500499139472479E-2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C1E3-AA08-4DF5-A2A8-332F05FAD3F4}">
  <sheetPr>
    <pageSetUpPr fitToPage="1"/>
  </sheetPr>
  <dimension ref="A3:Q86"/>
  <sheetViews>
    <sheetView view="pageBreakPreview" zoomScale="72" zoomScaleNormal="70" zoomScaleSheetLayoutView="72" workbookViewId="0">
      <pane ySplit="3" topLeftCell="A4" activePane="bottomLeft" state="frozen"/>
      <selection pane="bottomLeft" activeCell="J3" sqref="J3"/>
    </sheetView>
  </sheetViews>
  <sheetFormatPr baseColWidth="10" defaultColWidth="11.44140625" defaultRowHeight="15.6" x14ac:dyDescent="0.3"/>
  <cols>
    <col min="1" max="1" width="5.33203125" style="153" customWidth="1"/>
    <col min="2" max="2" width="21.88671875" style="155" customWidth="1"/>
    <col min="3" max="3" width="35.88671875" style="153" bestFit="1" customWidth="1"/>
    <col min="4" max="4" width="14.88671875" style="153" bestFit="1" customWidth="1"/>
    <col min="5" max="5" width="4.6640625" style="153" customWidth="1"/>
    <col min="6" max="6" width="11.44140625" style="153" customWidth="1"/>
    <col min="7" max="7" width="11.33203125" style="153" customWidth="1"/>
    <col min="8" max="8" width="27.88671875" style="153" customWidth="1"/>
    <col min="9" max="9" width="6.88671875" style="157" customWidth="1"/>
    <col min="10" max="10" width="27.5546875" style="157" bestFit="1" customWidth="1"/>
    <col min="11" max="11" width="5.33203125" style="156" customWidth="1"/>
    <col min="12" max="12" width="11.44140625" style="155"/>
    <col min="13" max="13" width="16.5546875" style="154" bestFit="1" customWidth="1"/>
    <col min="14" max="14" width="15" style="154" bestFit="1" customWidth="1"/>
    <col min="15" max="15" width="14.33203125" style="154" bestFit="1" customWidth="1"/>
    <col min="16" max="17" width="14.33203125" style="153" bestFit="1" customWidth="1"/>
    <col min="18" max="16384" width="11.44140625" style="153"/>
  </cols>
  <sheetData>
    <row r="3" spans="1:17" ht="23.4" x14ac:dyDescent="0.3">
      <c r="L3" s="245">
        <v>5</v>
      </c>
    </row>
    <row r="4" spans="1:17" ht="23.4" x14ac:dyDescent="0.3">
      <c r="L4" s="245"/>
    </row>
    <row r="5" spans="1:17" ht="23.4" x14ac:dyDescent="0.3">
      <c r="L5" s="245"/>
      <c r="M5" s="154">
        <v>1</v>
      </c>
      <c r="N5" s="154" t="s">
        <v>85</v>
      </c>
    </row>
    <row r="6" spans="1:17" ht="23.4" x14ac:dyDescent="0.3">
      <c r="L6" s="245"/>
      <c r="M6" s="154">
        <v>2</v>
      </c>
      <c r="N6" s="154" t="s">
        <v>83</v>
      </c>
    </row>
    <row r="7" spans="1:17" ht="18" x14ac:dyDescent="0.3">
      <c r="L7" s="160"/>
      <c r="M7" s="154">
        <v>3</v>
      </c>
      <c r="N7" s="154" t="s">
        <v>88</v>
      </c>
    </row>
    <row r="8" spans="1:17" ht="27.9" customHeight="1" x14ac:dyDescent="0.3">
      <c r="H8" s="244"/>
      <c r="I8" s="243"/>
      <c r="J8" s="242"/>
      <c r="M8" s="154">
        <v>4</v>
      </c>
      <c r="N8" s="154" t="s">
        <v>81</v>
      </c>
    </row>
    <row r="9" spans="1:17" s="154" customFormat="1" ht="27.9" customHeight="1" x14ac:dyDescent="0.3">
      <c r="A9" s="153"/>
      <c r="B9" s="241"/>
      <c r="C9" s="221"/>
      <c r="D9" s="221"/>
      <c r="E9" s="221"/>
      <c r="F9" s="221"/>
      <c r="G9" s="221"/>
      <c r="H9" s="240"/>
      <c r="I9" s="239"/>
      <c r="J9" s="238"/>
      <c r="K9" s="156"/>
      <c r="L9" s="155"/>
      <c r="M9" s="154">
        <v>5</v>
      </c>
      <c r="N9" s="154" t="s">
        <v>79</v>
      </c>
      <c r="P9" s="153"/>
      <c r="Q9" s="153"/>
    </row>
    <row r="10" spans="1:17" s="154" customFormat="1" ht="21" customHeight="1" x14ac:dyDescent="0.3">
      <c r="A10" s="153"/>
      <c r="C10" s="237"/>
      <c r="D10" s="237"/>
      <c r="E10" s="237"/>
      <c r="F10" s="237"/>
      <c r="G10" s="237"/>
      <c r="H10" s="236"/>
      <c r="I10" s="236"/>
      <c r="J10" s="235"/>
      <c r="K10" s="231"/>
      <c r="L10" s="155"/>
      <c r="M10" s="154">
        <v>6</v>
      </c>
      <c r="N10" s="154" t="s">
        <v>80</v>
      </c>
      <c r="P10" s="153"/>
      <c r="Q10" s="153"/>
    </row>
    <row r="11" spans="1:17" s="154" customFormat="1" ht="25.8" x14ac:dyDescent="0.3">
      <c r="A11" s="153"/>
      <c r="B11" s="234" t="s">
        <v>305</v>
      </c>
      <c r="C11" s="233"/>
      <c r="D11" s="233"/>
      <c r="E11" s="233"/>
      <c r="F11" s="233"/>
      <c r="G11" s="233"/>
      <c r="H11" s="233"/>
      <c r="I11" s="233"/>
      <c r="J11" s="232"/>
      <c r="K11" s="231"/>
      <c r="L11" s="155"/>
      <c r="M11" s="154">
        <v>7</v>
      </c>
      <c r="N11" s="154" t="s">
        <v>87</v>
      </c>
      <c r="P11" s="153"/>
      <c r="Q11" s="153"/>
    </row>
    <row r="12" spans="1:17" s="154" customFormat="1" ht="22.5" customHeight="1" x14ac:dyDescent="0.3">
      <c r="A12" s="153"/>
      <c r="B12" s="230"/>
      <c r="C12" s="229"/>
      <c r="D12" s="229"/>
      <c r="E12" s="229"/>
      <c r="F12" s="229"/>
      <c r="G12" s="229"/>
      <c r="H12" s="229"/>
      <c r="I12" s="229"/>
      <c r="J12" s="228"/>
      <c r="K12" s="161"/>
      <c r="L12" s="155"/>
      <c r="M12" s="154">
        <v>8</v>
      </c>
      <c r="N12" s="154" t="s">
        <v>86</v>
      </c>
      <c r="P12" s="153"/>
      <c r="Q12" s="153"/>
    </row>
    <row r="13" spans="1:17" s="154" customFormat="1" ht="18.75" customHeight="1" x14ac:dyDescent="0.3">
      <c r="A13" s="153"/>
      <c r="B13" s="160"/>
      <c r="C13" s="158"/>
      <c r="D13" s="158"/>
      <c r="E13" s="158"/>
      <c r="F13" s="158"/>
      <c r="G13" s="158"/>
      <c r="H13" s="158"/>
      <c r="I13" s="162"/>
      <c r="J13" s="162"/>
      <c r="K13" s="161"/>
      <c r="L13" s="155"/>
      <c r="M13" s="154">
        <v>9</v>
      </c>
      <c r="N13" s="154" t="s">
        <v>89</v>
      </c>
      <c r="P13" s="153"/>
      <c r="Q13" s="153"/>
    </row>
    <row r="14" spans="1:17" s="154" customFormat="1" ht="22.5" customHeight="1" x14ac:dyDescent="0.3">
      <c r="A14" s="221"/>
      <c r="B14" s="227" t="s">
        <v>304</v>
      </c>
      <c r="C14" s="226"/>
      <c r="D14" s="226"/>
      <c r="E14" s="226"/>
      <c r="F14" s="226"/>
      <c r="G14" s="226"/>
      <c r="H14" s="226"/>
      <c r="I14" s="226"/>
      <c r="J14" s="225"/>
      <c r="K14" s="219"/>
      <c r="L14" s="155"/>
      <c r="M14" s="154">
        <v>10</v>
      </c>
      <c r="N14" s="154" t="s">
        <v>90</v>
      </c>
      <c r="P14" s="153"/>
      <c r="Q14" s="153"/>
    </row>
    <row r="15" spans="1:17" s="154" customFormat="1" ht="22.2" x14ac:dyDescent="0.3">
      <c r="A15" s="221"/>
      <c r="B15" s="224"/>
      <c r="C15" s="223"/>
      <c r="D15" s="223"/>
      <c r="E15" s="223"/>
      <c r="F15" s="223"/>
      <c r="G15" s="223"/>
      <c r="H15" s="223"/>
      <c r="I15" s="223"/>
      <c r="J15" s="222"/>
      <c r="K15" s="219"/>
      <c r="L15" s="155"/>
      <c r="M15" s="154">
        <v>11</v>
      </c>
      <c r="N15" s="154" t="s">
        <v>77</v>
      </c>
      <c r="P15" s="153"/>
      <c r="Q15" s="153"/>
    </row>
    <row r="16" spans="1:17" s="154" customFormat="1" ht="22.2" x14ac:dyDescent="0.3">
      <c r="A16" s="221"/>
      <c r="B16" s="224"/>
      <c r="C16" s="223"/>
      <c r="D16" s="223"/>
      <c r="E16" s="223"/>
      <c r="F16" s="223"/>
      <c r="G16" s="223"/>
      <c r="H16" s="223"/>
      <c r="I16" s="223"/>
      <c r="J16" s="222"/>
      <c r="K16" s="219"/>
      <c r="L16" s="155"/>
      <c r="M16" s="154">
        <v>12</v>
      </c>
      <c r="N16" s="154" t="s">
        <v>84</v>
      </c>
      <c r="P16" s="153"/>
      <c r="Q16" s="153"/>
    </row>
    <row r="17" spans="1:15" ht="22.2" x14ac:dyDescent="0.3">
      <c r="A17" s="221"/>
      <c r="B17" s="224"/>
      <c r="C17" s="223"/>
      <c r="D17" s="223"/>
      <c r="E17" s="223"/>
      <c r="F17" s="223"/>
      <c r="G17" s="223"/>
      <c r="H17" s="223"/>
      <c r="I17" s="223"/>
      <c r="J17" s="222"/>
      <c r="K17" s="219"/>
      <c r="M17" s="154">
        <v>13</v>
      </c>
      <c r="N17" s="154" t="s">
        <v>78</v>
      </c>
    </row>
    <row r="18" spans="1:15" ht="20.25" customHeight="1" x14ac:dyDescent="0.3">
      <c r="A18" s="221"/>
      <c r="B18" s="220"/>
      <c r="C18" s="220"/>
      <c r="D18" s="220"/>
      <c r="E18" s="220"/>
      <c r="F18" s="220"/>
      <c r="G18" s="220"/>
      <c r="H18" s="220"/>
      <c r="I18" s="220"/>
      <c r="J18" s="220"/>
      <c r="K18" s="219"/>
      <c r="M18" s="154">
        <v>14</v>
      </c>
      <c r="N18" s="154" t="s">
        <v>82</v>
      </c>
    </row>
    <row r="19" spans="1:15" s="158" customFormat="1" ht="21" x14ac:dyDescent="0.3">
      <c r="A19" s="207"/>
      <c r="B19" s="218" t="s">
        <v>303</v>
      </c>
      <c r="C19" s="217" t="str">
        <f>VLOOKUP(L3,UTILIDADES!A6:C20,3,0)</f>
        <v>HERRERA ANDAMAYO NAHALA DOROTHY</v>
      </c>
      <c r="D19" s="216"/>
      <c r="E19" s="216"/>
      <c r="F19" s="216"/>
      <c r="G19" s="215" t="s">
        <v>302</v>
      </c>
      <c r="H19" s="215"/>
      <c r="I19" s="214"/>
      <c r="J19" s="213" t="str">
        <f>VLOOKUP(L3,UTILIDADES!A6:C20,2,0)</f>
        <v>42263949</v>
      </c>
      <c r="K19" s="212" t="s">
        <v>301</v>
      </c>
      <c r="L19" s="160"/>
      <c r="M19" s="159">
        <v>15</v>
      </c>
      <c r="N19" s="159" t="s">
        <v>300</v>
      </c>
      <c r="O19" s="159"/>
    </row>
    <row r="20" spans="1:15" s="158" customFormat="1" ht="18" x14ac:dyDescent="0.3">
      <c r="A20" s="207"/>
      <c r="B20" s="211" t="s">
        <v>306</v>
      </c>
      <c r="C20" s="209"/>
      <c r="D20" s="209"/>
      <c r="E20" s="209"/>
      <c r="F20" s="209"/>
      <c r="G20" s="209"/>
      <c r="H20" s="210"/>
      <c r="I20" s="209"/>
      <c r="J20" s="208"/>
      <c r="K20" s="203"/>
      <c r="L20" s="160"/>
      <c r="M20" s="159">
        <v>16</v>
      </c>
      <c r="N20" s="159" t="s">
        <v>91</v>
      </c>
      <c r="O20" s="159"/>
    </row>
    <row r="21" spans="1:15" s="158" customFormat="1" ht="22.5" customHeight="1" x14ac:dyDescent="0.3">
      <c r="A21" s="207"/>
      <c r="B21" s="206"/>
      <c r="C21" s="205"/>
      <c r="D21" s="205"/>
      <c r="E21" s="205"/>
      <c r="F21" s="205"/>
      <c r="G21" s="205"/>
      <c r="H21" s="205"/>
      <c r="I21" s="205"/>
      <c r="J21" s="204"/>
      <c r="K21" s="203"/>
      <c r="L21" s="160"/>
      <c r="M21" s="159">
        <v>17</v>
      </c>
      <c r="N21" s="159" t="s">
        <v>299</v>
      </c>
      <c r="O21" s="159"/>
    </row>
    <row r="22" spans="1:15" s="158" customFormat="1" ht="19.8" x14ac:dyDescent="0.3">
      <c r="B22" s="165"/>
      <c r="C22" s="164"/>
      <c r="D22" s="164"/>
      <c r="E22" s="164"/>
      <c r="F22" s="164"/>
      <c r="G22" s="164"/>
      <c r="H22" s="164"/>
      <c r="I22" s="163"/>
      <c r="J22" s="163"/>
      <c r="K22" s="161"/>
      <c r="L22" s="160"/>
      <c r="M22" s="159"/>
      <c r="N22" s="159"/>
      <c r="O22" s="159"/>
    </row>
    <row r="23" spans="1:15" s="158" customFormat="1" ht="19.8" x14ac:dyDescent="0.3">
      <c r="B23" s="192" t="s">
        <v>298</v>
      </c>
      <c r="C23" s="164"/>
      <c r="D23" s="164"/>
      <c r="E23" s="164"/>
      <c r="F23" s="164"/>
      <c r="G23" s="164"/>
      <c r="H23" s="164"/>
      <c r="I23" s="163"/>
      <c r="J23" s="180"/>
      <c r="K23" s="161"/>
      <c r="L23" s="160"/>
      <c r="M23" s="159"/>
      <c r="N23" s="159"/>
      <c r="O23" s="159"/>
    </row>
    <row r="24" spans="1:15" s="158" customFormat="1" ht="12" customHeight="1" x14ac:dyDescent="0.3">
      <c r="B24" s="165"/>
      <c r="C24" s="164"/>
      <c r="D24" s="164"/>
      <c r="E24" s="164"/>
      <c r="F24" s="164"/>
      <c r="G24" s="164"/>
      <c r="H24" s="163"/>
      <c r="I24" s="163"/>
      <c r="J24" s="180"/>
      <c r="K24" s="187"/>
      <c r="L24" s="160"/>
      <c r="M24" s="159"/>
      <c r="N24" s="159"/>
      <c r="O24" s="159"/>
    </row>
    <row r="25" spans="1:15" s="158" customFormat="1" ht="19.8" x14ac:dyDescent="0.3">
      <c r="B25" s="165" t="s">
        <v>297</v>
      </c>
      <c r="C25" s="164"/>
      <c r="D25" s="164"/>
      <c r="E25" s="164"/>
      <c r="F25" s="164"/>
      <c r="G25" s="164"/>
      <c r="H25" s="163"/>
      <c r="I25" s="163"/>
      <c r="J25" s="193">
        <f>+UTILIDADES!H23</f>
        <v>1009105.5</v>
      </c>
      <c r="K25" s="187"/>
      <c r="L25" s="160"/>
      <c r="M25" s="159"/>
      <c r="N25" s="159"/>
      <c r="O25" s="159"/>
    </row>
    <row r="26" spans="1:15" s="158" customFormat="1" ht="12" customHeight="1" x14ac:dyDescent="0.3">
      <c r="B26" s="165"/>
      <c r="C26" s="164"/>
      <c r="D26" s="164"/>
      <c r="E26" s="164"/>
      <c r="F26" s="164"/>
      <c r="G26" s="164"/>
      <c r="H26" s="163"/>
      <c r="I26" s="163"/>
      <c r="J26" s="178"/>
      <c r="K26" s="187"/>
      <c r="L26" s="160"/>
      <c r="M26" s="159"/>
      <c r="N26" s="159"/>
      <c r="O26" s="159"/>
    </row>
    <row r="27" spans="1:15" s="158" customFormat="1" ht="19.8" x14ac:dyDescent="0.3">
      <c r="B27" s="165" t="s">
        <v>296</v>
      </c>
      <c r="C27" s="164"/>
      <c r="D27" s="164"/>
      <c r="E27" s="164"/>
      <c r="F27" s="164"/>
      <c r="G27" s="164"/>
      <c r="H27" s="202"/>
      <c r="I27" s="163"/>
      <c r="J27" s="201">
        <v>0.05</v>
      </c>
      <c r="K27" s="187"/>
      <c r="L27" s="160"/>
      <c r="M27" s="159"/>
      <c r="N27" s="159"/>
      <c r="O27" s="159"/>
    </row>
    <row r="28" spans="1:15" s="158" customFormat="1" ht="12" customHeight="1" x14ac:dyDescent="0.3">
      <c r="B28" s="165"/>
      <c r="C28" s="164"/>
      <c r="D28" s="164"/>
      <c r="E28" s="164"/>
      <c r="F28" s="164"/>
      <c r="G28" s="164"/>
      <c r="H28" s="163"/>
      <c r="I28" s="163"/>
      <c r="J28" s="178"/>
      <c r="K28" s="194"/>
      <c r="L28" s="160"/>
      <c r="M28" s="159"/>
      <c r="N28" s="159"/>
      <c r="O28" s="159"/>
    </row>
    <row r="29" spans="1:15" s="158" customFormat="1" ht="19.8" x14ac:dyDescent="0.3">
      <c r="B29" s="165" t="s">
        <v>295</v>
      </c>
      <c r="C29" s="164"/>
      <c r="D29" s="164"/>
      <c r="E29" s="164"/>
      <c r="F29" s="200"/>
      <c r="G29" s="200"/>
      <c r="H29" s="163"/>
      <c r="I29" s="163"/>
      <c r="J29" s="193">
        <f>J25*J27</f>
        <v>50455.275000000001</v>
      </c>
      <c r="K29" s="187"/>
      <c r="L29" s="160"/>
      <c r="M29" s="159"/>
      <c r="N29" s="159"/>
      <c r="O29" s="159"/>
    </row>
    <row r="30" spans="1:15" s="158" customFormat="1" ht="19.8" x14ac:dyDescent="0.3">
      <c r="B30" s="165"/>
      <c r="C30" s="164"/>
      <c r="D30" s="164"/>
      <c r="E30" s="164"/>
      <c r="F30" s="164"/>
      <c r="G30" s="170"/>
      <c r="H30" s="170"/>
      <c r="I30" s="176"/>
      <c r="J30" s="193"/>
      <c r="K30" s="187"/>
      <c r="L30" s="160"/>
      <c r="M30" s="159"/>
      <c r="N30" s="159"/>
      <c r="O30" s="159"/>
    </row>
    <row r="31" spans="1:15" s="158" customFormat="1" ht="19.8" x14ac:dyDescent="0.3">
      <c r="B31" s="192" t="s">
        <v>294</v>
      </c>
      <c r="C31" s="164"/>
      <c r="D31" s="164"/>
      <c r="E31" s="164"/>
      <c r="F31" s="164"/>
      <c r="G31" s="164"/>
      <c r="H31" s="163"/>
      <c r="I31" s="163"/>
      <c r="J31" s="178"/>
      <c r="K31" s="187"/>
      <c r="L31" s="160"/>
      <c r="M31" s="159"/>
      <c r="N31" s="159"/>
      <c r="O31" s="159"/>
    </row>
    <row r="32" spans="1:15" s="158" customFormat="1" ht="12" customHeight="1" x14ac:dyDescent="0.3">
      <c r="B32" s="165"/>
      <c r="C32" s="164"/>
      <c r="D32" s="164"/>
      <c r="E32" s="164"/>
      <c r="F32" s="164"/>
      <c r="G32" s="164"/>
      <c r="H32" s="163"/>
      <c r="I32" s="163"/>
      <c r="J32" s="178"/>
      <c r="K32" s="187"/>
      <c r="L32" s="160"/>
      <c r="M32" s="159"/>
      <c r="N32" s="159"/>
      <c r="O32" s="159"/>
    </row>
    <row r="33" spans="2:15" s="158" customFormat="1" ht="19.8" x14ac:dyDescent="0.3">
      <c r="B33" s="165" t="s">
        <v>293</v>
      </c>
      <c r="C33" s="164"/>
      <c r="D33" s="164"/>
      <c r="E33" s="164"/>
      <c r="F33" s="164"/>
      <c r="G33" s="164"/>
      <c r="H33" s="163"/>
      <c r="I33" s="163"/>
      <c r="J33" s="178"/>
      <c r="K33" s="187"/>
      <c r="L33" s="160"/>
      <c r="M33" s="159"/>
      <c r="N33" s="159"/>
      <c r="O33" s="159"/>
    </row>
    <row r="34" spans="2:15" s="158" customFormat="1" ht="12" customHeight="1" x14ac:dyDescent="0.3">
      <c r="B34" s="165"/>
      <c r="C34" s="164"/>
      <c r="D34" s="164"/>
      <c r="E34" s="164"/>
      <c r="F34" s="164"/>
      <c r="G34" s="164"/>
      <c r="H34" s="163"/>
      <c r="I34" s="163"/>
      <c r="J34" s="178"/>
      <c r="K34" s="187"/>
      <c r="L34" s="160"/>
      <c r="M34" s="159"/>
      <c r="N34" s="159"/>
      <c r="O34" s="159"/>
    </row>
    <row r="35" spans="2:15" s="158" customFormat="1" ht="19.8" x14ac:dyDescent="0.3">
      <c r="B35" s="165" t="s">
        <v>307</v>
      </c>
      <c r="C35" s="164"/>
      <c r="D35" s="164"/>
      <c r="E35" s="164"/>
      <c r="F35" s="164"/>
      <c r="G35" s="164"/>
      <c r="H35" s="163"/>
      <c r="I35" s="163"/>
      <c r="J35" s="178"/>
      <c r="K35" s="187"/>
      <c r="L35" s="160"/>
      <c r="M35" s="159"/>
      <c r="N35" s="159"/>
      <c r="O35" s="159"/>
    </row>
    <row r="36" spans="2:15" s="158" customFormat="1" ht="19.8" x14ac:dyDescent="0.3">
      <c r="B36" s="165" t="s">
        <v>292</v>
      </c>
      <c r="C36" s="164"/>
      <c r="D36" s="164"/>
      <c r="E36" s="164"/>
      <c r="F36" s="164"/>
      <c r="G36" s="164"/>
      <c r="H36" s="163"/>
      <c r="I36" s="163"/>
      <c r="J36" s="199">
        <f>+UTILIDADES!G21</f>
        <v>3411</v>
      </c>
      <c r="K36" s="187"/>
      <c r="L36" s="160"/>
      <c r="M36" s="159"/>
      <c r="N36" s="159"/>
      <c r="O36" s="159"/>
    </row>
    <row r="37" spans="2:15" s="158" customFormat="1" ht="12" customHeight="1" x14ac:dyDescent="0.3">
      <c r="B37" s="165"/>
      <c r="C37" s="164"/>
      <c r="D37" s="164"/>
      <c r="E37" s="164"/>
      <c r="F37" s="164"/>
      <c r="G37" s="164"/>
      <c r="H37" s="163"/>
      <c r="I37" s="163"/>
      <c r="J37" s="198"/>
      <c r="K37" s="194"/>
      <c r="L37" s="160"/>
      <c r="M37" s="159"/>
      <c r="N37" s="159"/>
      <c r="O37" s="159"/>
    </row>
    <row r="38" spans="2:15" s="158" customFormat="1" ht="19.8" x14ac:dyDescent="0.3">
      <c r="B38" s="165" t="s">
        <v>308</v>
      </c>
      <c r="C38" s="164"/>
      <c r="D38" s="164"/>
      <c r="E38" s="164"/>
      <c r="F38" s="164"/>
      <c r="G38" s="164"/>
      <c r="H38" s="163"/>
      <c r="I38" s="163"/>
      <c r="J38" s="199">
        <f>VLOOKUP(BOLETA!J19,UTILIDADES!B6:P20,6,0)</f>
        <v>223</v>
      </c>
      <c r="K38" s="187"/>
      <c r="L38" s="160"/>
      <c r="M38" s="159"/>
      <c r="N38" s="159"/>
      <c r="O38" s="159"/>
    </row>
    <row r="39" spans="2:15" s="158" customFormat="1" ht="12" customHeight="1" x14ac:dyDescent="0.3">
      <c r="B39" s="165"/>
      <c r="C39" s="164"/>
      <c r="D39" s="164"/>
      <c r="E39" s="164"/>
      <c r="F39" s="164"/>
      <c r="G39" s="164"/>
      <c r="H39" s="163"/>
      <c r="I39" s="163"/>
      <c r="J39" s="198"/>
      <c r="K39" s="194"/>
      <c r="L39" s="160"/>
      <c r="M39" s="159"/>
      <c r="N39" s="159"/>
      <c r="O39" s="159"/>
    </row>
    <row r="40" spans="2:15" s="158" customFormat="1" ht="19.8" x14ac:dyDescent="0.3">
      <c r="B40" s="165" t="s">
        <v>291</v>
      </c>
      <c r="C40" s="164"/>
      <c r="D40" s="164"/>
      <c r="E40" s="164"/>
      <c r="F40" s="164"/>
      <c r="G40" s="164"/>
      <c r="H40" s="163"/>
      <c r="I40" s="163"/>
      <c r="J40" s="193">
        <f>VLOOKUP(BOLETA!J19,UTILIDADES!B6:P20,9,0)</f>
        <v>1649.3002528583993</v>
      </c>
      <c r="K40" s="187"/>
      <c r="L40" s="160"/>
      <c r="M40" s="159"/>
      <c r="N40" s="159"/>
      <c r="O40" s="159"/>
    </row>
    <row r="41" spans="2:15" s="158" customFormat="1" ht="12" customHeight="1" x14ac:dyDescent="0.3">
      <c r="B41" s="165"/>
      <c r="C41" s="164"/>
      <c r="D41" s="164"/>
      <c r="E41" s="164"/>
      <c r="F41" s="164"/>
      <c r="G41" s="164"/>
      <c r="H41" s="163"/>
      <c r="I41" s="163"/>
      <c r="J41" s="178"/>
      <c r="K41" s="187"/>
      <c r="L41" s="160"/>
      <c r="M41" s="159"/>
      <c r="N41" s="159"/>
      <c r="O41" s="159"/>
    </row>
    <row r="42" spans="2:15" s="158" customFormat="1" ht="19.8" x14ac:dyDescent="0.3">
      <c r="B42" s="165" t="s">
        <v>290</v>
      </c>
      <c r="C42" s="164"/>
      <c r="D42" s="164"/>
      <c r="E42" s="164"/>
      <c r="F42" s="164"/>
      <c r="G42" s="164"/>
      <c r="H42" s="163"/>
      <c r="I42" s="163"/>
      <c r="J42" s="178"/>
      <c r="K42" s="187"/>
      <c r="L42" s="160"/>
      <c r="M42" s="159"/>
      <c r="N42" s="159"/>
      <c r="O42" s="159"/>
    </row>
    <row r="43" spans="2:15" s="158" customFormat="1" ht="12" customHeight="1" x14ac:dyDescent="0.3">
      <c r="B43" s="165"/>
      <c r="C43" s="164"/>
      <c r="D43" s="164"/>
      <c r="E43" s="164"/>
      <c r="F43" s="164"/>
      <c r="G43" s="164"/>
      <c r="H43" s="163"/>
      <c r="I43" s="163"/>
      <c r="J43" s="178"/>
      <c r="K43" s="187"/>
      <c r="L43" s="160"/>
      <c r="M43" s="159"/>
      <c r="N43" s="159"/>
      <c r="O43" s="159"/>
    </row>
    <row r="44" spans="2:15" s="158" customFormat="1" ht="19.8" x14ac:dyDescent="0.3">
      <c r="B44" s="165" t="s">
        <v>309</v>
      </c>
      <c r="C44" s="164"/>
      <c r="D44" s="164"/>
      <c r="E44" s="164"/>
      <c r="F44" s="164"/>
      <c r="G44" s="164"/>
      <c r="H44" s="163"/>
      <c r="I44" s="163"/>
      <c r="J44" s="178"/>
      <c r="K44" s="187"/>
      <c r="L44" s="160"/>
      <c r="M44" s="159"/>
      <c r="N44" s="159"/>
      <c r="O44" s="159"/>
    </row>
    <row r="45" spans="2:15" s="158" customFormat="1" ht="19.8" x14ac:dyDescent="0.3">
      <c r="B45" s="165" t="s">
        <v>289</v>
      </c>
      <c r="C45" s="164"/>
      <c r="D45" s="164"/>
      <c r="E45" s="164"/>
      <c r="F45" s="164"/>
      <c r="G45" s="164"/>
      <c r="H45" s="163"/>
      <c r="I45" s="163"/>
      <c r="J45" s="193">
        <f>+UTILIDADES!H21</f>
        <v>951968.39</v>
      </c>
      <c r="K45" s="187"/>
      <c r="L45" s="160"/>
      <c r="M45" s="159"/>
      <c r="N45" s="159"/>
      <c r="O45" s="159"/>
    </row>
    <row r="46" spans="2:15" s="158" customFormat="1" ht="12" customHeight="1" x14ac:dyDescent="0.3">
      <c r="B46" s="165"/>
      <c r="C46" s="164"/>
      <c r="D46" s="164"/>
      <c r="E46" s="164"/>
      <c r="F46" s="164"/>
      <c r="G46" s="164"/>
      <c r="H46" s="163"/>
      <c r="I46" s="163"/>
      <c r="J46" s="178"/>
      <c r="K46" s="194"/>
      <c r="L46" s="160"/>
      <c r="M46" s="159"/>
      <c r="N46" s="159"/>
      <c r="O46" s="159"/>
    </row>
    <row r="47" spans="2:15" s="158" customFormat="1" ht="19.8" x14ac:dyDescent="0.3">
      <c r="B47" s="165" t="s">
        <v>310</v>
      </c>
      <c r="C47" s="164"/>
      <c r="D47" s="164"/>
      <c r="E47" s="164"/>
      <c r="F47" s="164"/>
      <c r="G47" s="164"/>
      <c r="H47" s="163"/>
      <c r="I47" s="163"/>
      <c r="J47" s="193">
        <f>VLOOKUP(BOLETA!J19,UTILIDADES!B6:P20,7,0)</f>
        <v>56582</v>
      </c>
      <c r="K47" s="187"/>
      <c r="L47" s="160"/>
      <c r="M47" s="159"/>
      <c r="N47" s="159"/>
      <c r="O47" s="159"/>
    </row>
    <row r="48" spans="2:15" s="158" customFormat="1" ht="12" customHeight="1" x14ac:dyDescent="0.3">
      <c r="B48" s="165"/>
      <c r="C48" s="164"/>
      <c r="D48" s="164"/>
      <c r="E48" s="164"/>
      <c r="F48" s="164"/>
      <c r="G48" s="164"/>
      <c r="H48" s="163"/>
      <c r="I48" s="163"/>
      <c r="J48" s="178"/>
      <c r="K48" s="194"/>
      <c r="L48" s="160"/>
      <c r="M48" s="159"/>
      <c r="N48" s="159"/>
      <c r="O48" s="159"/>
    </row>
    <row r="49" spans="2:15" s="158" customFormat="1" ht="19.8" x14ac:dyDescent="0.3">
      <c r="B49" s="165" t="s">
        <v>288</v>
      </c>
      <c r="C49" s="164"/>
      <c r="D49" s="164"/>
      <c r="E49" s="164"/>
      <c r="F49" s="164"/>
      <c r="G49" s="164"/>
      <c r="H49" s="163"/>
      <c r="I49" s="163"/>
      <c r="J49" s="193">
        <f>VLOOKUP(BOLETA!J19,UTILIDADES!B6:P20,10,0)</f>
        <v>1499.4512423096319</v>
      </c>
      <c r="K49" s="187"/>
      <c r="L49" s="160"/>
      <c r="M49" s="159"/>
      <c r="N49" s="159"/>
      <c r="O49" s="159"/>
    </row>
    <row r="50" spans="2:15" s="158" customFormat="1" ht="19.8" x14ac:dyDescent="0.3">
      <c r="B50" s="165"/>
      <c r="C50" s="164"/>
      <c r="D50" s="164"/>
      <c r="E50" s="164"/>
      <c r="F50" s="164"/>
      <c r="G50" s="170"/>
      <c r="H50" s="170"/>
      <c r="I50" s="176"/>
      <c r="J50" s="193"/>
      <c r="K50" s="187"/>
      <c r="L50" s="160"/>
      <c r="M50" s="159"/>
      <c r="N50" s="159"/>
      <c r="O50" s="159"/>
    </row>
    <row r="51" spans="2:15" s="158" customFormat="1" ht="19.8" x14ac:dyDescent="0.3">
      <c r="B51" s="192" t="s">
        <v>287</v>
      </c>
      <c r="C51" s="164"/>
      <c r="D51" s="164"/>
      <c r="E51" s="164"/>
      <c r="F51" s="164"/>
      <c r="G51" s="164"/>
      <c r="H51" s="164"/>
      <c r="I51" s="163"/>
      <c r="J51" s="178"/>
      <c r="K51" s="197"/>
      <c r="L51" s="160"/>
      <c r="M51" s="159"/>
      <c r="N51" s="159"/>
      <c r="O51" s="159"/>
    </row>
    <row r="52" spans="2:15" s="158" customFormat="1" ht="12" customHeight="1" x14ac:dyDescent="0.3">
      <c r="B52" s="165"/>
      <c r="C52" s="164"/>
      <c r="D52" s="164"/>
      <c r="E52" s="164"/>
      <c r="F52" s="164"/>
      <c r="G52" s="164"/>
      <c r="H52" s="163"/>
      <c r="I52" s="163"/>
      <c r="J52" s="178"/>
      <c r="K52" s="187"/>
      <c r="L52" s="160"/>
      <c r="M52" s="159"/>
      <c r="N52" s="159"/>
      <c r="O52" s="159"/>
    </row>
    <row r="53" spans="2:15" s="158" customFormat="1" ht="19.8" x14ac:dyDescent="0.3">
      <c r="B53" s="165" t="s">
        <v>286</v>
      </c>
      <c r="C53" s="164"/>
      <c r="D53" s="164"/>
      <c r="E53" s="164"/>
      <c r="F53" s="164"/>
      <c r="G53" s="164"/>
      <c r="H53" s="163"/>
      <c r="I53" s="163"/>
      <c r="J53" s="193">
        <f>+J40</f>
        <v>1649.3002528583993</v>
      </c>
      <c r="K53" s="187"/>
      <c r="L53" s="160"/>
      <c r="M53" s="159"/>
      <c r="N53" s="159"/>
      <c r="O53" s="159"/>
    </row>
    <row r="54" spans="2:15" s="158" customFormat="1" ht="12" customHeight="1" x14ac:dyDescent="0.3">
      <c r="B54" s="165"/>
      <c r="C54" s="164"/>
      <c r="D54" s="164"/>
      <c r="E54" s="164"/>
      <c r="F54" s="164"/>
      <c r="G54" s="164"/>
      <c r="H54" s="163"/>
      <c r="I54" s="163"/>
      <c r="J54" s="178"/>
      <c r="K54" s="187"/>
      <c r="L54" s="160"/>
      <c r="M54" s="159"/>
      <c r="N54" s="159"/>
      <c r="O54" s="159"/>
    </row>
    <row r="55" spans="2:15" s="158" customFormat="1" ht="19.8" x14ac:dyDescent="0.3">
      <c r="B55" s="165" t="s">
        <v>285</v>
      </c>
      <c r="C55" s="164"/>
      <c r="D55" s="164"/>
      <c r="E55" s="164"/>
      <c r="F55" s="164"/>
      <c r="G55" s="164"/>
      <c r="H55" s="163"/>
      <c r="I55" s="163"/>
      <c r="J55" s="193">
        <f>+J49</f>
        <v>1499.4512423096319</v>
      </c>
      <c r="K55" s="187"/>
      <c r="L55" s="160"/>
      <c r="N55" s="196"/>
      <c r="O55" s="159"/>
    </row>
    <row r="56" spans="2:15" s="158" customFormat="1" ht="12" customHeight="1" x14ac:dyDescent="0.3">
      <c r="B56" s="165"/>
      <c r="C56" s="164"/>
      <c r="D56" s="164"/>
      <c r="E56" s="164"/>
      <c r="F56" s="164"/>
      <c r="G56" s="164"/>
      <c r="H56" s="163"/>
      <c r="I56" s="163"/>
      <c r="J56" s="178"/>
      <c r="K56" s="194"/>
      <c r="L56" s="160"/>
      <c r="M56" s="159"/>
      <c r="N56" s="159"/>
      <c r="O56" s="159"/>
    </row>
    <row r="57" spans="2:15" s="158" customFormat="1" ht="19.8" x14ac:dyDescent="0.3">
      <c r="B57" s="165" t="s">
        <v>284</v>
      </c>
      <c r="C57" s="164"/>
      <c r="D57" s="164"/>
      <c r="E57" s="164"/>
      <c r="F57" s="164"/>
      <c r="G57" s="164"/>
      <c r="H57" s="163"/>
      <c r="I57" s="163"/>
      <c r="J57" s="195">
        <f>ROUND(J53+J55,2)</f>
        <v>3148.75</v>
      </c>
      <c r="K57" s="187"/>
      <c r="L57" s="160"/>
      <c r="N57" s="189"/>
      <c r="O57" s="159"/>
    </row>
    <row r="58" spans="2:15" s="158" customFormat="1" ht="12" customHeight="1" x14ac:dyDescent="0.3">
      <c r="B58" s="165"/>
      <c r="C58" s="164"/>
      <c r="D58" s="164"/>
      <c r="E58" s="164"/>
      <c r="F58" s="164"/>
      <c r="G58" s="164"/>
      <c r="H58" s="163"/>
      <c r="I58" s="163"/>
      <c r="J58" s="178"/>
      <c r="K58" s="194"/>
      <c r="L58" s="160"/>
      <c r="M58" s="159"/>
      <c r="N58" s="159"/>
      <c r="O58" s="159"/>
    </row>
    <row r="59" spans="2:15" s="158" customFormat="1" ht="19.8" x14ac:dyDescent="0.3">
      <c r="B59" s="165" t="s">
        <v>283</v>
      </c>
      <c r="C59" s="164"/>
      <c r="D59" s="164"/>
      <c r="E59" s="164"/>
      <c r="F59" s="164"/>
      <c r="G59" s="164"/>
      <c r="H59" s="163"/>
      <c r="I59" s="163"/>
      <c r="J59" s="193">
        <f>VLOOKUP(BOLETA!J19,UTILIDADES!B6:P20,12,0)</f>
        <v>251.9</v>
      </c>
      <c r="K59" s="187"/>
      <c r="L59" s="160"/>
      <c r="M59" s="159"/>
      <c r="N59" s="159"/>
      <c r="O59" s="159"/>
    </row>
    <row r="60" spans="2:15" s="158" customFormat="1" ht="19.8" x14ac:dyDescent="0.3">
      <c r="B60" s="165"/>
      <c r="C60" s="164"/>
      <c r="D60" s="164"/>
      <c r="E60" s="164"/>
      <c r="F60" s="164"/>
      <c r="G60" s="164"/>
      <c r="H60" s="164"/>
      <c r="I60" s="163"/>
      <c r="J60" s="193"/>
      <c r="K60" s="187"/>
      <c r="L60" s="160"/>
      <c r="M60" s="159"/>
      <c r="N60" s="159"/>
      <c r="O60" s="159"/>
    </row>
    <row r="61" spans="2:15" s="158" customFormat="1" ht="20.399999999999999" thickBot="1" x14ac:dyDescent="0.35">
      <c r="B61" s="192" t="s">
        <v>282</v>
      </c>
      <c r="C61" s="164"/>
      <c r="D61" s="164"/>
      <c r="E61" s="164"/>
      <c r="F61" s="164"/>
      <c r="G61" s="164"/>
      <c r="H61" s="191"/>
      <c r="I61" s="163"/>
      <c r="J61" s="190">
        <f>J57-J59</f>
        <v>2896.85</v>
      </c>
      <c r="K61" s="187"/>
      <c r="L61" s="160"/>
      <c r="M61" s="159"/>
      <c r="N61" s="189"/>
      <c r="O61" s="159"/>
    </row>
    <row r="62" spans="2:15" s="158" customFormat="1" ht="20.399999999999999" thickTop="1" x14ac:dyDescent="0.3">
      <c r="B62" s="165"/>
      <c r="C62" s="164"/>
      <c r="D62" s="164"/>
      <c r="E62" s="164"/>
      <c r="F62" s="164"/>
      <c r="G62" s="164"/>
      <c r="H62" s="163"/>
      <c r="I62" s="163"/>
      <c r="J62" s="188"/>
      <c r="K62" s="187"/>
      <c r="L62" s="160"/>
      <c r="M62" s="159"/>
      <c r="N62" s="159"/>
      <c r="O62" s="159"/>
    </row>
    <row r="63" spans="2:15" s="158" customFormat="1" ht="19.8" x14ac:dyDescent="0.3">
      <c r="B63" s="165"/>
      <c r="C63" s="164"/>
      <c r="D63" s="164"/>
      <c r="E63" s="164"/>
      <c r="F63" s="164"/>
      <c r="G63" s="164"/>
      <c r="H63" s="164"/>
      <c r="I63" s="163"/>
      <c r="J63" s="186"/>
      <c r="K63" s="161"/>
      <c r="L63" s="160"/>
      <c r="M63" s="159"/>
      <c r="N63" s="159"/>
      <c r="O63" s="159"/>
    </row>
    <row r="64" spans="2:15" s="158" customFormat="1" ht="19.8" x14ac:dyDescent="0.3">
      <c r="B64" s="164"/>
      <c r="C64" s="164"/>
      <c r="D64" s="164"/>
      <c r="E64" s="164"/>
      <c r="F64" s="164"/>
      <c r="G64" s="164"/>
      <c r="H64" s="164"/>
      <c r="I64" s="163"/>
      <c r="J64" s="163"/>
      <c r="K64" s="161"/>
      <c r="L64" s="160"/>
      <c r="M64" s="159"/>
      <c r="N64" s="159"/>
      <c r="O64" s="159"/>
    </row>
    <row r="65" spans="1:15" s="158" customFormat="1" ht="19.8" x14ac:dyDescent="0.3">
      <c r="B65" s="165"/>
      <c r="C65" s="185"/>
      <c r="D65" s="164"/>
      <c r="E65" s="164"/>
      <c r="F65" s="164"/>
      <c r="G65" s="164"/>
      <c r="H65" s="164"/>
      <c r="I65" s="163"/>
      <c r="J65" s="163"/>
      <c r="K65" s="161"/>
      <c r="L65" s="160"/>
      <c r="M65" s="159"/>
      <c r="N65" s="159"/>
      <c r="O65" s="159"/>
    </row>
    <row r="66" spans="1:15" s="158" customFormat="1" ht="19.8" x14ac:dyDescent="0.3">
      <c r="B66" s="184" t="s">
        <v>281</v>
      </c>
      <c r="C66" s="183">
        <v>46101</v>
      </c>
      <c r="D66" s="164"/>
      <c r="E66" s="164"/>
      <c r="F66" s="164"/>
      <c r="G66" s="164"/>
      <c r="H66" s="164"/>
      <c r="I66" s="163"/>
      <c r="J66" s="163"/>
      <c r="K66" s="161"/>
      <c r="L66" s="160"/>
      <c r="M66" s="159"/>
      <c r="N66" s="159"/>
      <c r="O66" s="159"/>
    </row>
    <row r="67" spans="1:15" s="158" customFormat="1" ht="18" x14ac:dyDescent="0.3">
      <c r="B67" s="160"/>
      <c r="I67" s="162"/>
      <c r="J67" s="162"/>
      <c r="K67" s="161"/>
      <c r="L67" s="160"/>
      <c r="M67" s="159"/>
      <c r="N67" s="159"/>
      <c r="O67" s="159"/>
    </row>
    <row r="68" spans="1:15" s="158" customFormat="1" ht="18" x14ac:dyDescent="0.3">
      <c r="B68" s="160"/>
      <c r="I68" s="162"/>
      <c r="J68" s="162"/>
      <c r="K68" s="161"/>
      <c r="L68" s="160"/>
      <c r="M68" s="159"/>
      <c r="N68" s="159"/>
      <c r="O68" s="159"/>
    </row>
    <row r="69" spans="1:15" s="158" customFormat="1" ht="18" x14ac:dyDescent="0.3">
      <c r="B69" s="160"/>
      <c r="I69" s="162"/>
      <c r="J69" s="162"/>
      <c r="K69" s="161"/>
      <c r="L69" s="160"/>
      <c r="M69" s="159"/>
      <c r="N69" s="159"/>
      <c r="O69" s="159"/>
    </row>
    <row r="70" spans="1:15" s="158" customFormat="1" ht="18" x14ac:dyDescent="0.3">
      <c r="B70" s="160"/>
      <c r="I70" s="162"/>
      <c r="J70" s="162"/>
      <c r="K70" s="161"/>
      <c r="L70" s="160"/>
      <c r="M70" s="159"/>
      <c r="N70" s="159"/>
      <c r="O70" s="159"/>
    </row>
    <row r="71" spans="1:15" s="158" customFormat="1" ht="18" x14ac:dyDescent="0.3">
      <c r="B71" s="160"/>
      <c r="I71" s="162"/>
      <c r="J71" s="162"/>
      <c r="K71" s="161"/>
      <c r="L71" s="160"/>
      <c r="M71" s="159"/>
      <c r="N71" s="159"/>
      <c r="O71" s="159"/>
    </row>
    <row r="72" spans="1:15" s="158" customFormat="1" ht="18" x14ac:dyDescent="0.3">
      <c r="B72" s="160"/>
      <c r="I72" s="162"/>
      <c r="J72" s="162"/>
      <c r="K72" s="161"/>
      <c r="L72" s="160"/>
      <c r="M72" s="159"/>
      <c r="N72" s="159"/>
      <c r="O72" s="159"/>
    </row>
    <row r="73" spans="1:15" s="158" customFormat="1" ht="18" x14ac:dyDescent="0.3">
      <c r="B73" s="160"/>
      <c r="I73" s="162"/>
      <c r="J73" s="162"/>
      <c r="K73" s="161"/>
      <c r="L73" s="160"/>
      <c r="M73" s="159"/>
      <c r="N73" s="159"/>
      <c r="O73" s="159"/>
    </row>
    <row r="74" spans="1:15" s="158" customFormat="1" ht="18" x14ac:dyDescent="0.3">
      <c r="B74" s="160"/>
      <c r="I74" s="162"/>
      <c r="J74" s="162"/>
      <c r="K74" s="161"/>
      <c r="L74" s="160"/>
      <c r="M74" s="159"/>
      <c r="N74" s="159"/>
      <c r="O74" s="159"/>
    </row>
    <row r="75" spans="1:15" s="158" customFormat="1" ht="19.8" x14ac:dyDescent="0.3">
      <c r="B75" s="182"/>
      <c r="C75" s="181"/>
      <c r="D75" s="181"/>
      <c r="E75" s="164"/>
      <c r="F75" s="164"/>
      <c r="G75" s="164"/>
      <c r="H75" s="181"/>
      <c r="I75" s="180"/>
      <c r="J75" s="180"/>
      <c r="K75" s="161"/>
      <c r="L75" s="160"/>
      <c r="M75" s="159"/>
      <c r="N75" s="159"/>
      <c r="O75" s="159"/>
    </row>
    <row r="76" spans="1:15" s="158" customFormat="1" ht="43.5" customHeight="1" x14ac:dyDescent="0.3">
      <c r="A76" s="162"/>
      <c r="B76" s="179" t="str">
        <f>+C19</f>
        <v>HERRERA ANDAMAYO NAHALA DOROTHY</v>
      </c>
      <c r="C76" s="179"/>
      <c r="D76" s="178"/>
      <c r="E76" s="177"/>
      <c r="F76" s="170"/>
      <c r="G76" s="176"/>
      <c r="H76" s="175" t="s">
        <v>280</v>
      </c>
      <c r="I76" s="175"/>
      <c r="J76" s="175"/>
      <c r="K76" s="174"/>
      <c r="L76" s="160"/>
      <c r="M76" s="159"/>
      <c r="N76" s="159"/>
      <c r="O76" s="159"/>
    </row>
    <row r="77" spans="1:15" s="158" customFormat="1" ht="19.8" x14ac:dyDescent="0.3">
      <c r="B77" s="173" t="s">
        <v>279</v>
      </c>
      <c r="C77" s="172" t="str">
        <f>+J19</f>
        <v>42263949</v>
      </c>
      <c r="D77" s="171"/>
      <c r="E77" s="170"/>
      <c r="F77" s="170"/>
      <c r="G77" s="170"/>
      <c r="H77" s="169" t="s">
        <v>278</v>
      </c>
      <c r="I77" s="168"/>
      <c r="J77" s="167"/>
      <c r="K77" s="166"/>
      <c r="L77" s="160"/>
      <c r="M77" s="159"/>
      <c r="N77" s="159"/>
      <c r="O77" s="159"/>
    </row>
    <row r="78" spans="1:15" s="158" customFormat="1" ht="19.8" x14ac:dyDescent="0.3">
      <c r="B78" s="165"/>
      <c r="C78" s="164"/>
      <c r="D78" s="164"/>
      <c r="E78" s="164"/>
      <c r="F78" s="164"/>
      <c r="G78" s="164"/>
      <c r="H78" s="164"/>
      <c r="I78" s="163"/>
      <c r="J78" s="163"/>
      <c r="K78" s="161"/>
      <c r="L78" s="160"/>
      <c r="M78" s="159"/>
      <c r="N78" s="159"/>
      <c r="O78" s="159"/>
    </row>
    <row r="79" spans="1:15" s="158" customFormat="1" ht="18" x14ac:dyDescent="0.3">
      <c r="B79" s="160"/>
      <c r="I79" s="162"/>
      <c r="J79" s="162"/>
      <c r="K79" s="161"/>
      <c r="L79" s="160"/>
      <c r="M79" s="159"/>
      <c r="N79" s="159"/>
      <c r="O79" s="159"/>
    </row>
    <row r="80" spans="1:15" s="158" customFormat="1" ht="18" x14ac:dyDescent="0.3">
      <c r="B80" s="160"/>
      <c r="I80" s="162"/>
      <c r="J80" s="162"/>
      <c r="K80" s="161"/>
      <c r="L80" s="160"/>
      <c r="M80" s="159"/>
      <c r="N80" s="159"/>
      <c r="O80" s="159"/>
    </row>
    <row r="81" spans="2:15" s="158" customFormat="1" ht="18" x14ac:dyDescent="0.3">
      <c r="B81" s="160"/>
      <c r="I81" s="162"/>
      <c r="J81" s="162"/>
      <c r="K81" s="161"/>
      <c r="L81" s="160"/>
      <c r="M81" s="159"/>
      <c r="N81" s="159"/>
      <c r="O81" s="159"/>
    </row>
    <row r="82" spans="2:15" s="158" customFormat="1" ht="18" x14ac:dyDescent="0.3">
      <c r="B82" s="160"/>
      <c r="I82" s="162"/>
      <c r="J82" s="162"/>
      <c r="K82" s="161"/>
      <c r="L82" s="160"/>
      <c r="M82" s="159"/>
      <c r="N82" s="159"/>
      <c r="O82" s="159"/>
    </row>
    <row r="83" spans="2:15" s="158" customFormat="1" ht="18" x14ac:dyDescent="0.3">
      <c r="B83" s="160"/>
      <c r="I83" s="162"/>
      <c r="J83" s="162"/>
      <c r="K83" s="161"/>
      <c r="L83" s="160"/>
      <c r="M83" s="159"/>
      <c r="N83" s="159"/>
      <c r="O83" s="159"/>
    </row>
    <row r="84" spans="2:15" s="158" customFormat="1" ht="18" x14ac:dyDescent="0.3">
      <c r="B84" s="160"/>
      <c r="I84" s="162"/>
      <c r="J84" s="162"/>
      <c r="K84" s="161"/>
      <c r="L84" s="160"/>
      <c r="M84" s="159"/>
      <c r="N84" s="159"/>
      <c r="O84" s="159"/>
    </row>
    <row r="85" spans="2:15" s="158" customFormat="1" ht="18" x14ac:dyDescent="0.3">
      <c r="B85" s="160"/>
      <c r="I85" s="162"/>
      <c r="J85" s="162"/>
      <c r="K85" s="161"/>
      <c r="L85" s="160"/>
      <c r="M85" s="159"/>
      <c r="N85" s="159"/>
      <c r="O85" s="159"/>
    </row>
    <row r="86" spans="2:15" s="158" customFormat="1" ht="18" x14ac:dyDescent="0.3">
      <c r="B86" s="160"/>
      <c r="I86" s="162"/>
      <c r="J86" s="162"/>
      <c r="K86" s="161"/>
      <c r="L86" s="160"/>
      <c r="M86" s="159"/>
      <c r="N86" s="159"/>
      <c r="O86" s="159"/>
    </row>
  </sheetData>
  <mergeCells count="11">
    <mergeCell ref="G19:I19"/>
    <mergeCell ref="B20:J21"/>
    <mergeCell ref="B76:C76"/>
    <mergeCell ref="H76:J76"/>
    <mergeCell ref="H77:J77"/>
    <mergeCell ref="H8:J8"/>
    <mergeCell ref="H9:J9"/>
    <mergeCell ref="B11:J11"/>
    <mergeCell ref="B12:J12"/>
    <mergeCell ref="B14:J17"/>
    <mergeCell ref="C19:F19"/>
  </mergeCells>
  <printOptions horizontalCentered="1" verticalCentered="1"/>
  <pageMargins left="0" right="0" top="0" bottom="0" header="0" footer="0"/>
  <pageSetup paperSize="9"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F175-80F1-431C-B590-7453F8BA7021}">
  <dimension ref="A2:Q65522"/>
  <sheetViews>
    <sheetView topLeftCell="A52" workbookViewId="0">
      <selection activeCell="G71" sqref="G71"/>
    </sheetView>
  </sheetViews>
  <sheetFormatPr baseColWidth="10" defaultColWidth="11.109375" defaultRowHeight="15" customHeight="1" x14ac:dyDescent="0.25"/>
  <cols>
    <col min="1" max="10" width="11.109375" style="1"/>
    <col min="11" max="11" width="8.5546875" style="1" customWidth="1"/>
    <col min="12" max="12" width="11.109375" style="1"/>
    <col min="13" max="13" width="21.77734375" style="1" customWidth="1"/>
    <col min="14" max="16384" width="11.109375" style="1"/>
  </cols>
  <sheetData>
    <row r="2" spans="1:15" ht="15" customHeight="1" x14ac:dyDescent="0.25">
      <c r="A2" s="118" t="s">
        <v>0</v>
      </c>
      <c r="B2" s="118"/>
      <c r="C2" s="118"/>
      <c r="D2" s="118"/>
      <c r="E2" s="118"/>
      <c r="J2" s="1" t="s">
        <v>1</v>
      </c>
    </row>
    <row r="3" spans="1:15" ht="15" customHeight="1" x14ac:dyDescent="0.25">
      <c r="A3" s="119" t="s">
        <v>2</v>
      </c>
      <c r="B3" s="120"/>
      <c r="C3" s="120"/>
      <c r="D3" s="120"/>
      <c r="E3" s="120"/>
      <c r="F3" s="120"/>
      <c r="G3" s="120"/>
      <c r="H3" s="120"/>
      <c r="I3" s="120"/>
      <c r="J3" s="121"/>
    </row>
    <row r="4" spans="1:15" ht="15" customHeight="1" x14ac:dyDescent="0.25">
      <c r="A4" s="122" t="s">
        <v>3</v>
      </c>
      <c r="B4" s="123"/>
      <c r="C4" s="123"/>
      <c r="D4" s="123"/>
      <c r="E4" s="123"/>
      <c r="F4" s="123"/>
      <c r="G4" s="123"/>
      <c r="H4" s="123"/>
      <c r="I4" s="123"/>
      <c r="J4" s="124"/>
    </row>
    <row r="5" spans="1:15" ht="15" customHeight="1" x14ac:dyDescent="0.25">
      <c r="A5" s="122" t="s">
        <v>75</v>
      </c>
      <c r="B5" s="123"/>
      <c r="C5" s="123"/>
      <c r="D5" s="123"/>
      <c r="E5" s="123"/>
      <c r="F5" s="123"/>
      <c r="G5" s="123"/>
      <c r="H5" s="123"/>
      <c r="I5" s="123"/>
      <c r="J5" s="124"/>
    </row>
    <row r="6" spans="1:15" ht="15" customHeight="1" x14ac:dyDescent="0.25">
      <c r="A6" s="125" t="s">
        <v>5</v>
      </c>
      <c r="B6" s="126"/>
      <c r="C6" s="126"/>
      <c r="D6" s="126"/>
      <c r="E6" s="126"/>
      <c r="F6" s="126"/>
      <c r="G6" s="126"/>
      <c r="H6" s="126"/>
      <c r="I6" s="126"/>
      <c r="J6" s="127"/>
    </row>
    <row r="8" spans="1:15" ht="15" customHeight="1" x14ac:dyDescent="0.25">
      <c r="A8" s="128" t="s">
        <v>6</v>
      </c>
      <c r="B8" s="129"/>
      <c r="C8" s="129"/>
      <c r="D8" s="129"/>
      <c r="E8" s="130"/>
      <c r="F8" s="128" t="s">
        <v>7</v>
      </c>
      <c r="G8" s="129"/>
      <c r="H8" s="129"/>
      <c r="I8" s="129"/>
      <c r="J8" s="130"/>
    </row>
    <row r="9" spans="1:15" ht="15" customHeight="1" x14ac:dyDescent="0.25">
      <c r="A9" s="128" t="s">
        <v>8</v>
      </c>
      <c r="B9" s="130"/>
      <c r="C9" s="131" t="s">
        <v>9</v>
      </c>
      <c r="D9" s="131" t="s">
        <v>10</v>
      </c>
      <c r="E9" s="131" t="s">
        <v>11</v>
      </c>
      <c r="F9" s="131" t="s">
        <v>12</v>
      </c>
      <c r="G9" s="128" t="s">
        <v>13</v>
      </c>
      <c r="H9" s="129"/>
      <c r="I9" s="130"/>
      <c r="J9" s="131" t="s">
        <v>14</v>
      </c>
    </row>
    <row r="10" spans="1:15" ht="15" customHeight="1" x14ac:dyDescent="0.25">
      <c r="A10" s="2" t="s">
        <v>15</v>
      </c>
      <c r="B10" s="2" t="s">
        <v>16</v>
      </c>
      <c r="C10" s="132"/>
      <c r="D10" s="132"/>
      <c r="E10" s="132"/>
      <c r="F10" s="132"/>
      <c r="G10" s="133"/>
      <c r="H10" s="134"/>
      <c r="I10" s="135"/>
      <c r="J10" s="132"/>
    </row>
    <row r="11" spans="1:15" ht="15" customHeight="1" x14ac:dyDescent="0.25">
      <c r="A11" s="3" t="s">
        <v>205</v>
      </c>
      <c r="B11" s="1" t="s">
        <v>18</v>
      </c>
      <c r="C11" s="1" t="s">
        <v>19</v>
      </c>
      <c r="D11" s="1" t="s">
        <v>20</v>
      </c>
      <c r="E11" s="1" t="s">
        <v>21</v>
      </c>
      <c r="F11" s="4" t="s">
        <v>22</v>
      </c>
      <c r="G11" s="136" t="s">
        <v>23</v>
      </c>
      <c r="H11" s="136"/>
      <c r="I11" s="136"/>
      <c r="J11" s="4">
        <v>28</v>
      </c>
      <c r="L11" s="1">
        <f>NETWORKDAYS.INTL(M11,N11,1,$F$51:$J$54)</f>
        <v>20</v>
      </c>
      <c r="M11" s="6">
        <v>45659</v>
      </c>
      <c r="N11" s="6">
        <v>45686</v>
      </c>
      <c r="O11" s="109">
        <f t="shared" ref="O11:O47" si="0">+N11-M11+1-J11</f>
        <v>0</v>
      </c>
    </row>
    <row r="12" spans="1:15" ht="15" customHeight="1" x14ac:dyDescent="0.25">
      <c r="A12" s="3" t="s">
        <v>205</v>
      </c>
      <c r="B12" s="1" t="s">
        <v>24</v>
      </c>
      <c r="C12" s="1" t="s">
        <v>19</v>
      </c>
      <c r="D12" s="1" t="s">
        <v>25</v>
      </c>
      <c r="E12" s="1" t="s">
        <v>26</v>
      </c>
      <c r="F12" s="4" t="s">
        <v>22</v>
      </c>
      <c r="G12" s="137" t="s">
        <v>23</v>
      </c>
      <c r="H12" s="137"/>
      <c r="I12" s="137"/>
      <c r="J12" s="4">
        <v>28</v>
      </c>
      <c r="L12" s="1">
        <f t="shared" ref="L12:L47" si="1">NETWORKDAYS.INTL(M12,N12,1,$F$51:$J$54)</f>
        <v>20</v>
      </c>
      <c r="M12" s="6">
        <v>45659</v>
      </c>
      <c r="N12" s="6">
        <v>45686</v>
      </c>
      <c r="O12" s="109">
        <f t="shared" si="0"/>
        <v>0</v>
      </c>
    </row>
    <row r="13" spans="1:15" ht="15" customHeight="1" x14ac:dyDescent="0.25">
      <c r="A13" s="3" t="s">
        <v>205</v>
      </c>
      <c r="B13" s="1" t="s">
        <v>27</v>
      </c>
      <c r="C13" s="1" t="s">
        <v>28</v>
      </c>
      <c r="D13" s="1" t="s">
        <v>29</v>
      </c>
      <c r="E13" s="1" t="s">
        <v>30</v>
      </c>
      <c r="F13" s="4" t="s">
        <v>31</v>
      </c>
      <c r="G13" s="137" t="s">
        <v>32</v>
      </c>
      <c r="H13" s="137"/>
      <c r="I13" s="137"/>
      <c r="J13" s="112">
        <v>2</v>
      </c>
      <c r="L13" s="1">
        <f t="shared" si="1"/>
        <v>2</v>
      </c>
      <c r="M13" s="6">
        <v>45665</v>
      </c>
      <c r="N13" s="6">
        <v>45666</v>
      </c>
      <c r="O13" s="109">
        <f t="shared" si="0"/>
        <v>0</v>
      </c>
    </row>
    <row r="14" spans="1:15" ht="15" customHeight="1" x14ac:dyDescent="0.25">
      <c r="A14" s="3" t="s">
        <v>206</v>
      </c>
      <c r="B14" s="1" t="s">
        <v>33</v>
      </c>
      <c r="C14" s="1" t="s">
        <v>19</v>
      </c>
      <c r="D14" s="1" t="s">
        <v>25</v>
      </c>
      <c r="E14" s="1" t="s">
        <v>34</v>
      </c>
      <c r="F14" s="4" t="s">
        <v>22</v>
      </c>
      <c r="G14" s="136" t="s">
        <v>23</v>
      </c>
      <c r="H14" s="136"/>
      <c r="I14" s="136"/>
      <c r="J14" s="4">
        <v>28</v>
      </c>
      <c r="L14" s="1">
        <f t="shared" si="1"/>
        <v>20</v>
      </c>
      <c r="M14" s="6">
        <v>45689</v>
      </c>
      <c r="N14" s="6">
        <v>45716</v>
      </c>
      <c r="O14" s="109">
        <f t="shared" si="0"/>
        <v>0</v>
      </c>
    </row>
    <row r="15" spans="1:15" ht="15" customHeight="1" x14ac:dyDescent="0.25">
      <c r="A15" s="3" t="s">
        <v>206</v>
      </c>
      <c r="B15" s="1" t="s">
        <v>35</v>
      </c>
      <c r="C15" s="1" t="s">
        <v>36</v>
      </c>
      <c r="D15" s="1" t="s">
        <v>37</v>
      </c>
      <c r="E15" s="1" t="s">
        <v>38</v>
      </c>
      <c r="F15" s="4" t="s">
        <v>22</v>
      </c>
      <c r="G15" s="137" t="s">
        <v>23</v>
      </c>
      <c r="H15" s="137"/>
      <c r="I15" s="137"/>
      <c r="J15" s="4">
        <v>1</v>
      </c>
      <c r="L15" s="1">
        <f t="shared" si="1"/>
        <v>1</v>
      </c>
      <c r="M15" s="6">
        <v>45702</v>
      </c>
      <c r="N15" s="6">
        <v>45702</v>
      </c>
      <c r="O15" s="109">
        <f t="shared" si="0"/>
        <v>0</v>
      </c>
    </row>
    <row r="16" spans="1:15" ht="15" customHeight="1" x14ac:dyDescent="0.25">
      <c r="A16" s="3" t="s">
        <v>206</v>
      </c>
      <c r="B16" s="1" t="s">
        <v>39</v>
      </c>
      <c r="C16" s="1" t="s">
        <v>40</v>
      </c>
      <c r="D16" s="1" t="s">
        <v>41</v>
      </c>
      <c r="E16" s="1" t="s">
        <v>42</v>
      </c>
      <c r="F16" s="4" t="s">
        <v>22</v>
      </c>
      <c r="G16" s="137" t="s">
        <v>23</v>
      </c>
      <c r="H16" s="137"/>
      <c r="I16" s="137"/>
      <c r="J16" s="4">
        <v>7</v>
      </c>
      <c r="L16" s="1">
        <f t="shared" si="1"/>
        <v>5</v>
      </c>
      <c r="M16" s="6">
        <v>45705</v>
      </c>
      <c r="N16" s="6">
        <v>45711</v>
      </c>
      <c r="O16" s="109">
        <f t="shared" si="0"/>
        <v>0</v>
      </c>
    </row>
    <row r="17" spans="1:15" ht="15" customHeight="1" x14ac:dyDescent="0.25">
      <c r="A17" s="3" t="s">
        <v>206</v>
      </c>
      <c r="B17" s="1" t="s">
        <v>43</v>
      </c>
      <c r="C17" s="1" t="s">
        <v>44</v>
      </c>
      <c r="D17" s="1" t="s">
        <v>45</v>
      </c>
      <c r="E17" s="1" t="s">
        <v>46</v>
      </c>
      <c r="F17" s="4" t="s">
        <v>22</v>
      </c>
      <c r="G17" s="137" t="s">
        <v>23</v>
      </c>
      <c r="H17" s="137"/>
      <c r="I17" s="137"/>
      <c r="J17" s="4">
        <v>28</v>
      </c>
      <c r="L17" s="1">
        <f t="shared" si="1"/>
        <v>20</v>
      </c>
      <c r="M17" s="6">
        <v>45689</v>
      </c>
      <c r="N17" s="6">
        <v>45716</v>
      </c>
      <c r="O17" s="109">
        <f t="shared" si="0"/>
        <v>0</v>
      </c>
    </row>
    <row r="18" spans="1:15" ht="15" customHeight="1" x14ac:dyDescent="0.25">
      <c r="A18" s="3" t="s">
        <v>207</v>
      </c>
      <c r="B18" s="1" t="s">
        <v>47</v>
      </c>
      <c r="C18" s="1" t="s">
        <v>48</v>
      </c>
      <c r="D18" s="1" t="s">
        <v>49</v>
      </c>
      <c r="E18" s="1" t="s">
        <v>50</v>
      </c>
      <c r="F18" s="4" t="s">
        <v>22</v>
      </c>
      <c r="G18" s="136" t="s">
        <v>23</v>
      </c>
      <c r="H18" s="136"/>
      <c r="I18" s="136"/>
      <c r="J18" s="4">
        <v>28</v>
      </c>
      <c r="L18" s="1">
        <f t="shared" si="1"/>
        <v>20</v>
      </c>
      <c r="M18" s="6">
        <v>45717</v>
      </c>
      <c r="N18" s="6">
        <v>45744</v>
      </c>
      <c r="O18" s="109">
        <f t="shared" si="0"/>
        <v>0</v>
      </c>
    </row>
    <row r="19" spans="1:15" ht="15" customHeight="1" x14ac:dyDescent="0.25">
      <c r="A19" s="3" t="s">
        <v>207</v>
      </c>
      <c r="B19" s="1" t="s">
        <v>27</v>
      </c>
      <c r="C19" s="1" t="s">
        <v>28</v>
      </c>
      <c r="D19" s="1" t="s">
        <v>29</v>
      </c>
      <c r="E19" s="1" t="s">
        <v>30</v>
      </c>
      <c r="F19" s="4" t="s">
        <v>31</v>
      </c>
      <c r="G19" s="137" t="s">
        <v>32</v>
      </c>
      <c r="H19" s="137"/>
      <c r="I19" s="137"/>
      <c r="J19" s="112">
        <v>1</v>
      </c>
      <c r="L19" s="1">
        <f t="shared" si="1"/>
        <v>0</v>
      </c>
      <c r="M19" s="6">
        <v>45738</v>
      </c>
      <c r="N19" s="6">
        <v>45738</v>
      </c>
      <c r="O19" s="109">
        <f t="shared" si="0"/>
        <v>0</v>
      </c>
    </row>
    <row r="20" spans="1:15" ht="15" customHeight="1" x14ac:dyDescent="0.25">
      <c r="A20" s="3" t="s">
        <v>207</v>
      </c>
      <c r="B20" s="1" t="s">
        <v>51</v>
      </c>
      <c r="C20" s="1" t="s">
        <v>52</v>
      </c>
      <c r="D20" s="1" t="s">
        <v>53</v>
      </c>
      <c r="E20" s="1" t="s">
        <v>54</v>
      </c>
      <c r="F20" s="4" t="s">
        <v>22</v>
      </c>
      <c r="G20" s="137" t="s">
        <v>23</v>
      </c>
      <c r="H20" s="137"/>
      <c r="I20" s="137"/>
      <c r="J20" s="4">
        <v>7</v>
      </c>
      <c r="L20" s="1">
        <f t="shared" si="1"/>
        <v>5</v>
      </c>
      <c r="M20" s="6">
        <v>45903</v>
      </c>
      <c r="N20" s="6">
        <v>45909</v>
      </c>
      <c r="O20" s="109">
        <f t="shared" si="0"/>
        <v>0</v>
      </c>
    </row>
    <row r="21" spans="1:15" ht="15" customHeight="1" x14ac:dyDescent="0.25">
      <c r="A21" s="3" t="s">
        <v>208</v>
      </c>
      <c r="B21" s="1" t="s">
        <v>55</v>
      </c>
      <c r="C21" s="1" t="s">
        <v>56</v>
      </c>
      <c r="D21" s="1" t="s">
        <v>28</v>
      </c>
      <c r="E21" s="1" t="s">
        <v>57</v>
      </c>
      <c r="F21" s="4" t="s">
        <v>22</v>
      </c>
      <c r="G21" s="136" t="s">
        <v>23</v>
      </c>
      <c r="H21" s="136"/>
      <c r="I21" s="136"/>
      <c r="J21" s="4">
        <v>28</v>
      </c>
      <c r="L21" s="1">
        <f t="shared" si="1"/>
        <v>18</v>
      </c>
      <c r="M21" s="6">
        <v>45748</v>
      </c>
      <c r="N21" s="6">
        <v>45775</v>
      </c>
      <c r="O21" s="109">
        <f t="shared" si="0"/>
        <v>0</v>
      </c>
    </row>
    <row r="22" spans="1:15" ht="15" customHeight="1" x14ac:dyDescent="0.25">
      <c r="A22" s="3" t="s">
        <v>208</v>
      </c>
      <c r="B22" s="1" t="s">
        <v>58</v>
      </c>
      <c r="C22" s="1" t="s">
        <v>49</v>
      </c>
      <c r="D22" s="1" t="s">
        <v>59</v>
      </c>
      <c r="E22" s="1" t="s">
        <v>60</v>
      </c>
      <c r="F22" s="4" t="s">
        <v>31</v>
      </c>
      <c r="G22" s="137" t="s">
        <v>32</v>
      </c>
      <c r="H22" s="137"/>
      <c r="I22" s="137"/>
      <c r="J22" s="112">
        <v>2</v>
      </c>
      <c r="L22" s="1">
        <f t="shared" si="1"/>
        <v>2</v>
      </c>
      <c r="M22" s="6">
        <v>45757</v>
      </c>
      <c r="N22" s="6">
        <v>45758</v>
      </c>
      <c r="O22" s="109">
        <f t="shared" si="0"/>
        <v>0</v>
      </c>
    </row>
    <row r="23" spans="1:15" ht="15" customHeight="1" x14ac:dyDescent="0.25">
      <c r="A23" s="3" t="s">
        <v>208</v>
      </c>
      <c r="B23" s="1" t="s">
        <v>43</v>
      </c>
      <c r="C23" s="1" t="s">
        <v>44</v>
      </c>
      <c r="D23" s="1" t="s">
        <v>45</v>
      </c>
      <c r="E23" s="1" t="s">
        <v>46</v>
      </c>
      <c r="F23" s="4" t="s">
        <v>31</v>
      </c>
      <c r="G23" s="137" t="s">
        <v>32</v>
      </c>
      <c r="H23" s="137"/>
      <c r="I23" s="137"/>
      <c r="J23" s="112">
        <v>2</v>
      </c>
      <c r="L23" s="1">
        <f t="shared" si="1"/>
        <v>2</v>
      </c>
      <c r="M23" s="6">
        <v>45749</v>
      </c>
      <c r="N23" s="6">
        <v>45750</v>
      </c>
      <c r="O23" s="109">
        <f t="shared" si="0"/>
        <v>0</v>
      </c>
    </row>
    <row r="24" spans="1:15" ht="15" customHeight="1" x14ac:dyDescent="0.25">
      <c r="A24" s="3" t="s">
        <v>208</v>
      </c>
      <c r="B24" s="1" t="s">
        <v>61</v>
      </c>
      <c r="C24" s="1" t="s">
        <v>62</v>
      </c>
      <c r="D24" s="1" t="s">
        <v>63</v>
      </c>
      <c r="E24" s="1" t="s">
        <v>64</v>
      </c>
      <c r="F24" s="4" t="s">
        <v>22</v>
      </c>
      <c r="G24" s="137" t="s">
        <v>23</v>
      </c>
      <c r="H24" s="137"/>
      <c r="I24" s="137"/>
      <c r="J24" s="4">
        <v>2</v>
      </c>
      <c r="L24" s="1">
        <f t="shared" si="1"/>
        <v>2</v>
      </c>
      <c r="M24" s="6">
        <v>45776</v>
      </c>
      <c r="N24" s="6">
        <v>45777</v>
      </c>
      <c r="O24" s="109">
        <f t="shared" si="0"/>
        <v>0</v>
      </c>
    </row>
    <row r="25" spans="1:15" ht="15" customHeight="1" x14ac:dyDescent="0.25">
      <c r="A25" s="3" t="s">
        <v>209</v>
      </c>
      <c r="B25" s="1" t="s">
        <v>27</v>
      </c>
      <c r="C25" s="1" t="s">
        <v>28</v>
      </c>
      <c r="D25" s="1" t="s">
        <v>29</v>
      </c>
      <c r="E25" s="1" t="s">
        <v>30</v>
      </c>
      <c r="F25" s="4" t="s">
        <v>22</v>
      </c>
      <c r="G25" s="136" t="s">
        <v>23</v>
      </c>
      <c r="H25" s="136"/>
      <c r="I25" s="136"/>
      <c r="J25" s="4">
        <v>1</v>
      </c>
      <c r="L25" s="1">
        <f t="shared" si="1"/>
        <v>1</v>
      </c>
      <c r="M25" s="6">
        <v>45791</v>
      </c>
      <c r="N25" s="6">
        <v>45791</v>
      </c>
      <c r="O25" s="109">
        <f t="shared" si="0"/>
        <v>0</v>
      </c>
    </row>
    <row r="26" spans="1:15" ht="15" customHeight="1" x14ac:dyDescent="0.25">
      <c r="A26" s="3" t="s">
        <v>209</v>
      </c>
      <c r="B26" s="1" t="s">
        <v>39</v>
      </c>
      <c r="C26" s="1" t="s">
        <v>40</v>
      </c>
      <c r="D26" s="1" t="s">
        <v>41</v>
      </c>
      <c r="E26" s="1" t="s">
        <v>42</v>
      </c>
      <c r="F26" s="4" t="s">
        <v>22</v>
      </c>
      <c r="G26" s="137" t="s">
        <v>23</v>
      </c>
      <c r="H26" s="137"/>
      <c r="I26" s="137"/>
      <c r="J26" s="4">
        <v>14</v>
      </c>
      <c r="L26" s="1">
        <f t="shared" si="1"/>
        <v>10</v>
      </c>
      <c r="M26" s="6">
        <v>45790</v>
      </c>
      <c r="N26" s="6">
        <v>45803</v>
      </c>
      <c r="O26" s="109">
        <f t="shared" si="0"/>
        <v>0</v>
      </c>
    </row>
    <row r="27" spans="1:15" ht="15" customHeight="1" x14ac:dyDescent="0.25">
      <c r="A27" s="3" t="s">
        <v>209</v>
      </c>
      <c r="B27" s="1" t="s">
        <v>61</v>
      </c>
      <c r="C27" s="1" t="s">
        <v>62</v>
      </c>
      <c r="D27" s="1" t="s">
        <v>63</v>
      </c>
      <c r="E27" s="1" t="s">
        <v>64</v>
      </c>
      <c r="F27" s="4" t="s">
        <v>22</v>
      </c>
      <c r="G27" s="137" t="s">
        <v>23</v>
      </c>
      <c r="H27" s="137"/>
      <c r="I27" s="137"/>
      <c r="J27" s="4">
        <v>12</v>
      </c>
      <c r="L27" s="1">
        <f t="shared" si="1"/>
        <v>7</v>
      </c>
      <c r="M27" s="6">
        <v>45778</v>
      </c>
      <c r="N27" s="6">
        <v>45789</v>
      </c>
      <c r="O27" s="109">
        <f t="shared" si="0"/>
        <v>0</v>
      </c>
    </row>
    <row r="28" spans="1:15" ht="15" customHeight="1" x14ac:dyDescent="0.25">
      <c r="A28" s="3" t="s">
        <v>210</v>
      </c>
      <c r="B28" s="1" t="s">
        <v>27</v>
      </c>
      <c r="C28" s="1" t="s">
        <v>28</v>
      </c>
      <c r="D28" s="1" t="s">
        <v>29</v>
      </c>
      <c r="E28" s="1" t="s">
        <v>30</v>
      </c>
      <c r="F28" s="4" t="s">
        <v>22</v>
      </c>
      <c r="G28" s="136" t="s">
        <v>23</v>
      </c>
      <c r="H28" s="136"/>
      <c r="I28" s="136"/>
      <c r="J28" s="4">
        <v>27</v>
      </c>
      <c r="L28" s="1">
        <f t="shared" si="1"/>
        <v>20</v>
      </c>
      <c r="M28" s="6">
        <v>45810</v>
      </c>
      <c r="N28" s="6">
        <v>45836</v>
      </c>
      <c r="O28" s="109">
        <f t="shared" si="0"/>
        <v>0</v>
      </c>
    </row>
    <row r="29" spans="1:15" ht="15" customHeight="1" x14ac:dyDescent="0.25">
      <c r="A29" s="3" t="s">
        <v>210</v>
      </c>
      <c r="B29" s="1" t="s">
        <v>39</v>
      </c>
      <c r="C29" s="1" t="s">
        <v>40</v>
      </c>
      <c r="D29" s="1" t="s">
        <v>41</v>
      </c>
      <c r="E29" s="1" t="s">
        <v>42</v>
      </c>
      <c r="F29" s="4" t="s">
        <v>22</v>
      </c>
      <c r="G29" s="137" t="s">
        <v>23</v>
      </c>
      <c r="H29" s="137"/>
      <c r="I29" s="137"/>
      <c r="J29" s="4">
        <v>7</v>
      </c>
      <c r="L29" s="1">
        <f t="shared" si="1"/>
        <v>5</v>
      </c>
      <c r="M29" s="6">
        <v>45824</v>
      </c>
      <c r="N29" s="6">
        <v>45830</v>
      </c>
      <c r="O29" s="109">
        <f t="shared" si="0"/>
        <v>0</v>
      </c>
    </row>
    <row r="30" spans="1:15" ht="15" customHeight="1" x14ac:dyDescent="0.25">
      <c r="A30" s="3" t="s">
        <v>211</v>
      </c>
      <c r="B30" s="1" t="s">
        <v>58</v>
      </c>
      <c r="C30" s="1" t="s">
        <v>49</v>
      </c>
      <c r="D30" s="1" t="s">
        <v>59</v>
      </c>
      <c r="E30" s="1" t="s">
        <v>60</v>
      </c>
      <c r="F30" s="4" t="s">
        <v>22</v>
      </c>
      <c r="G30" s="136" t="s">
        <v>23</v>
      </c>
      <c r="H30" s="136"/>
      <c r="I30" s="136"/>
      <c r="J30" s="4">
        <v>1</v>
      </c>
      <c r="L30" s="1">
        <f t="shared" si="1"/>
        <v>1</v>
      </c>
      <c r="M30" s="6">
        <v>45847</v>
      </c>
      <c r="N30" s="6">
        <v>45847</v>
      </c>
      <c r="O30" s="109">
        <f t="shared" si="0"/>
        <v>0</v>
      </c>
    </row>
    <row r="31" spans="1:15" ht="15" customHeight="1" x14ac:dyDescent="0.25">
      <c r="A31" s="3" t="s">
        <v>211</v>
      </c>
      <c r="B31" s="1" t="s">
        <v>35</v>
      </c>
      <c r="C31" s="1" t="s">
        <v>36</v>
      </c>
      <c r="D31" s="1" t="s">
        <v>37</v>
      </c>
      <c r="E31" s="1" t="s">
        <v>38</v>
      </c>
      <c r="F31" s="4" t="s">
        <v>22</v>
      </c>
      <c r="G31" s="137" t="s">
        <v>23</v>
      </c>
      <c r="H31" s="137"/>
      <c r="I31" s="137"/>
      <c r="J31" s="4">
        <v>27</v>
      </c>
      <c r="L31" s="1">
        <f t="shared" si="1"/>
        <v>18</v>
      </c>
      <c r="M31" s="6">
        <v>45839</v>
      </c>
      <c r="N31" s="6">
        <v>45865</v>
      </c>
      <c r="O31" s="109">
        <f t="shared" si="0"/>
        <v>0</v>
      </c>
    </row>
    <row r="32" spans="1:15" ht="15" customHeight="1" x14ac:dyDescent="0.25">
      <c r="A32" s="3" t="s">
        <v>211</v>
      </c>
      <c r="B32" s="1" t="s">
        <v>27</v>
      </c>
      <c r="C32" s="1" t="s">
        <v>28</v>
      </c>
      <c r="D32" s="1" t="s">
        <v>29</v>
      </c>
      <c r="E32" s="1" t="s">
        <v>30</v>
      </c>
      <c r="F32" s="4" t="s">
        <v>31</v>
      </c>
      <c r="G32" s="137" t="s">
        <v>32</v>
      </c>
      <c r="H32" s="137"/>
      <c r="I32" s="137"/>
      <c r="J32" s="112">
        <v>2</v>
      </c>
      <c r="L32" s="1">
        <f t="shared" si="1"/>
        <v>2</v>
      </c>
      <c r="M32" s="6">
        <v>45852</v>
      </c>
      <c r="N32" s="6">
        <v>45853</v>
      </c>
      <c r="O32" s="109">
        <f t="shared" si="0"/>
        <v>0</v>
      </c>
    </row>
    <row r="33" spans="1:15" ht="15" customHeight="1" x14ac:dyDescent="0.25">
      <c r="A33" s="3" t="s">
        <v>211</v>
      </c>
      <c r="B33" s="1" t="s">
        <v>39</v>
      </c>
      <c r="C33" s="1" t="s">
        <v>40</v>
      </c>
      <c r="D33" s="1" t="s">
        <v>41</v>
      </c>
      <c r="E33" s="1" t="s">
        <v>42</v>
      </c>
      <c r="F33" s="4" t="s">
        <v>31</v>
      </c>
      <c r="G33" s="137" t="s">
        <v>32</v>
      </c>
      <c r="H33" s="137"/>
      <c r="I33" s="137"/>
      <c r="J33" s="112">
        <v>20</v>
      </c>
      <c r="L33" s="1">
        <f t="shared" si="1"/>
        <v>14</v>
      </c>
      <c r="M33" s="6">
        <v>45844</v>
      </c>
      <c r="N33" s="6">
        <v>45863</v>
      </c>
      <c r="O33" s="109">
        <f t="shared" si="0"/>
        <v>0</v>
      </c>
    </row>
    <row r="34" spans="1:15" ht="15" customHeight="1" x14ac:dyDescent="0.25">
      <c r="A34" s="3" t="s">
        <v>211</v>
      </c>
      <c r="B34" s="1" t="s">
        <v>65</v>
      </c>
      <c r="C34" s="1" t="s">
        <v>66</v>
      </c>
      <c r="D34" s="1" t="s">
        <v>67</v>
      </c>
      <c r="E34" s="1" t="s">
        <v>38</v>
      </c>
      <c r="F34" s="4" t="s">
        <v>31</v>
      </c>
      <c r="G34" s="137" t="s">
        <v>32</v>
      </c>
      <c r="H34" s="137"/>
      <c r="I34" s="137"/>
      <c r="J34" s="112">
        <v>2</v>
      </c>
      <c r="L34" s="1">
        <f t="shared" si="1"/>
        <v>2</v>
      </c>
      <c r="M34" s="52">
        <v>45854</v>
      </c>
      <c r="N34" s="52">
        <v>45855</v>
      </c>
      <c r="O34" s="109">
        <f t="shared" si="0"/>
        <v>0</v>
      </c>
    </row>
    <row r="35" spans="1:15" ht="15" customHeight="1" x14ac:dyDescent="0.25">
      <c r="A35" s="3" t="s">
        <v>211</v>
      </c>
      <c r="B35" s="1" t="s">
        <v>61</v>
      </c>
      <c r="C35" s="1" t="s">
        <v>62</v>
      </c>
      <c r="D35" s="1" t="s">
        <v>63</v>
      </c>
      <c r="E35" s="1" t="s">
        <v>64</v>
      </c>
      <c r="F35" s="4" t="s">
        <v>22</v>
      </c>
      <c r="G35" s="137" t="s">
        <v>23</v>
      </c>
      <c r="H35" s="137"/>
      <c r="I35" s="137"/>
      <c r="J35" s="4">
        <v>7</v>
      </c>
      <c r="L35" s="1">
        <f t="shared" si="1"/>
        <v>5</v>
      </c>
      <c r="M35" s="6">
        <v>45845</v>
      </c>
      <c r="N35" s="6">
        <v>45851</v>
      </c>
      <c r="O35" s="109">
        <f t="shared" si="0"/>
        <v>0</v>
      </c>
    </row>
    <row r="36" spans="1:15" ht="15" customHeight="1" x14ac:dyDescent="0.25">
      <c r="A36" s="3" t="s">
        <v>212</v>
      </c>
      <c r="B36" s="1" t="s">
        <v>58</v>
      </c>
      <c r="C36" s="1" t="s">
        <v>49</v>
      </c>
      <c r="D36" s="1" t="s">
        <v>59</v>
      </c>
      <c r="E36" s="1" t="s">
        <v>60</v>
      </c>
      <c r="F36" s="4" t="s">
        <v>31</v>
      </c>
      <c r="G36" s="136" t="s">
        <v>32</v>
      </c>
      <c r="H36" s="136"/>
      <c r="I36" s="136"/>
      <c r="J36" s="112">
        <v>2</v>
      </c>
      <c r="L36" s="1">
        <f t="shared" si="1"/>
        <v>2</v>
      </c>
      <c r="M36" s="6">
        <v>45873</v>
      </c>
      <c r="N36" s="6">
        <v>45874</v>
      </c>
      <c r="O36" s="109">
        <f t="shared" si="0"/>
        <v>0</v>
      </c>
    </row>
    <row r="37" spans="1:15" ht="15" customHeight="1" x14ac:dyDescent="0.25">
      <c r="A37" s="3" t="s">
        <v>212</v>
      </c>
      <c r="B37" s="1" t="s">
        <v>68</v>
      </c>
      <c r="C37" s="1" t="s">
        <v>69</v>
      </c>
      <c r="D37" s="1" t="s">
        <v>70</v>
      </c>
      <c r="E37" s="1" t="s">
        <v>71</v>
      </c>
      <c r="F37" s="4" t="s">
        <v>22</v>
      </c>
      <c r="G37" s="137" t="s">
        <v>23</v>
      </c>
      <c r="H37" s="137"/>
      <c r="I37" s="137"/>
      <c r="J37" s="4">
        <v>26</v>
      </c>
      <c r="L37" s="1">
        <f t="shared" si="1"/>
        <v>17</v>
      </c>
      <c r="M37" s="6">
        <v>45870</v>
      </c>
      <c r="N37" s="6">
        <v>45895</v>
      </c>
      <c r="O37" s="109">
        <f t="shared" si="0"/>
        <v>0</v>
      </c>
    </row>
    <row r="38" spans="1:15" ht="15" customHeight="1" x14ac:dyDescent="0.25">
      <c r="A38" s="3" t="s">
        <v>213</v>
      </c>
      <c r="B38" s="1" t="s">
        <v>58</v>
      </c>
      <c r="C38" s="1" t="s">
        <v>49</v>
      </c>
      <c r="D38" s="1" t="s">
        <v>59</v>
      </c>
      <c r="E38" s="1" t="s">
        <v>60</v>
      </c>
      <c r="F38" s="4" t="s">
        <v>22</v>
      </c>
      <c r="G38" s="136" t="s">
        <v>23</v>
      </c>
      <c r="H38" s="136"/>
      <c r="I38" s="136"/>
      <c r="J38" s="4">
        <v>12</v>
      </c>
      <c r="L38" s="1">
        <f t="shared" si="1"/>
        <v>10</v>
      </c>
      <c r="M38" s="6">
        <v>45915</v>
      </c>
      <c r="N38" s="6">
        <v>45926</v>
      </c>
      <c r="O38" s="109">
        <f t="shared" si="0"/>
        <v>0</v>
      </c>
    </row>
    <row r="39" spans="1:15" ht="15" customHeight="1" x14ac:dyDescent="0.25">
      <c r="A39" s="3" t="s">
        <v>213</v>
      </c>
      <c r="B39" s="1" t="s">
        <v>51</v>
      </c>
      <c r="C39" s="1" t="s">
        <v>52</v>
      </c>
      <c r="D39" s="1" t="s">
        <v>53</v>
      </c>
      <c r="E39" s="1" t="s">
        <v>54</v>
      </c>
      <c r="F39" s="4" t="s">
        <v>22</v>
      </c>
      <c r="G39" s="137" t="s">
        <v>23</v>
      </c>
      <c r="H39" s="137"/>
      <c r="I39" s="137"/>
      <c r="J39" s="4">
        <v>7</v>
      </c>
      <c r="L39" s="1">
        <f t="shared" si="1"/>
        <v>5</v>
      </c>
      <c r="M39" s="6">
        <v>45903</v>
      </c>
      <c r="N39" s="6">
        <v>45909</v>
      </c>
      <c r="O39" s="109">
        <f t="shared" si="0"/>
        <v>0</v>
      </c>
    </row>
    <row r="40" spans="1:15" ht="15" customHeight="1" x14ac:dyDescent="0.25">
      <c r="A40" s="3" t="s">
        <v>214</v>
      </c>
      <c r="B40" s="1" t="s">
        <v>72</v>
      </c>
      <c r="C40" s="1" t="s">
        <v>28</v>
      </c>
      <c r="D40" s="1" t="s">
        <v>73</v>
      </c>
      <c r="E40" s="1" t="s">
        <v>74</v>
      </c>
      <c r="F40" s="4" t="s">
        <v>22</v>
      </c>
      <c r="G40" s="136" t="s">
        <v>23</v>
      </c>
      <c r="H40" s="136"/>
      <c r="I40" s="136"/>
      <c r="J40" s="4">
        <v>26</v>
      </c>
      <c r="L40" s="1">
        <f t="shared" si="1"/>
        <v>17</v>
      </c>
      <c r="M40" s="6">
        <v>45931</v>
      </c>
      <c r="N40" s="6">
        <v>45956</v>
      </c>
      <c r="O40" s="109">
        <f t="shared" si="0"/>
        <v>0</v>
      </c>
    </row>
    <row r="41" spans="1:15" ht="15" customHeight="1" x14ac:dyDescent="0.25">
      <c r="A41" s="3" t="s">
        <v>214</v>
      </c>
      <c r="B41" s="1" t="s">
        <v>61</v>
      </c>
      <c r="C41" s="1" t="s">
        <v>62</v>
      </c>
      <c r="D41" s="1" t="s">
        <v>63</v>
      </c>
      <c r="E41" s="1" t="s">
        <v>64</v>
      </c>
      <c r="F41" s="4" t="s">
        <v>22</v>
      </c>
      <c r="G41" s="137" t="s">
        <v>23</v>
      </c>
      <c r="H41" s="137"/>
      <c r="I41" s="137"/>
      <c r="J41" s="4">
        <v>7</v>
      </c>
      <c r="L41" s="1">
        <f t="shared" si="1"/>
        <v>5</v>
      </c>
      <c r="M41" s="6">
        <v>45943</v>
      </c>
      <c r="N41" s="6">
        <v>45949</v>
      </c>
      <c r="O41" s="109">
        <f t="shared" si="0"/>
        <v>0</v>
      </c>
    </row>
    <row r="42" spans="1:15" ht="15" customHeight="1" x14ac:dyDescent="0.25">
      <c r="A42" s="3" t="s">
        <v>215</v>
      </c>
      <c r="B42" s="1" t="s">
        <v>72</v>
      </c>
      <c r="C42" s="1" t="s">
        <v>28</v>
      </c>
      <c r="D42" s="1" t="s">
        <v>73</v>
      </c>
      <c r="E42" s="1" t="s">
        <v>74</v>
      </c>
      <c r="F42" s="4" t="s">
        <v>31</v>
      </c>
      <c r="G42" s="136" t="s">
        <v>32</v>
      </c>
      <c r="H42" s="136"/>
      <c r="I42" s="136"/>
      <c r="J42" s="112">
        <v>1</v>
      </c>
      <c r="L42" s="1">
        <f t="shared" si="1"/>
        <v>1</v>
      </c>
      <c r="M42" s="6">
        <v>45981</v>
      </c>
      <c r="N42" s="6">
        <v>45981</v>
      </c>
      <c r="O42" s="109">
        <f t="shared" si="0"/>
        <v>0</v>
      </c>
    </row>
    <row r="43" spans="1:15" ht="15" customHeight="1" x14ac:dyDescent="0.25">
      <c r="A43" s="3" t="s">
        <v>215</v>
      </c>
      <c r="B43" s="1" t="s">
        <v>51</v>
      </c>
      <c r="C43" s="1" t="s">
        <v>52</v>
      </c>
      <c r="D43" s="1" t="s">
        <v>53</v>
      </c>
      <c r="E43" s="1" t="s">
        <v>54</v>
      </c>
      <c r="F43" s="4" t="s">
        <v>31</v>
      </c>
      <c r="G43" s="137" t="s">
        <v>32</v>
      </c>
      <c r="H43" s="137"/>
      <c r="I43" s="137"/>
      <c r="J43" s="112">
        <v>3</v>
      </c>
      <c r="L43" s="1">
        <f t="shared" si="1"/>
        <v>2</v>
      </c>
      <c r="M43" s="6">
        <v>45981</v>
      </c>
      <c r="N43" s="6">
        <v>45983</v>
      </c>
      <c r="O43" s="109">
        <f t="shared" si="0"/>
        <v>0</v>
      </c>
    </row>
    <row r="44" spans="1:15" ht="15" customHeight="1" x14ac:dyDescent="0.25">
      <c r="A44" s="3" t="s">
        <v>215</v>
      </c>
      <c r="B44" s="1" t="s">
        <v>65</v>
      </c>
      <c r="C44" s="1" t="s">
        <v>66</v>
      </c>
      <c r="D44" s="1" t="s">
        <v>67</v>
      </c>
      <c r="E44" s="1" t="s">
        <v>38</v>
      </c>
      <c r="F44" s="4" t="s">
        <v>22</v>
      </c>
      <c r="G44" s="137" t="s">
        <v>23</v>
      </c>
      <c r="H44" s="137"/>
      <c r="I44" s="137"/>
      <c r="J44" s="4">
        <v>28</v>
      </c>
      <c r="L44" s="1">
        <f>NETWORKDAYS.INTL(M44,N44,1,$F$51:$J$54)</f>
        <v>20</v>
      </c>
      <c r="M44" s="6">
        <v>45964</v>
      </c>
      <c r="N44" s="6">
        <v>45991</v>
      </c>
      <c r="O44" s="109">
        <f t="shared" si="0"/>
        <v>0</v>
      </c>
    </row>
    <row r="45" spans="1:15" ht="15" customHeight="1" x14ac:dyDescent="0.25">
      <c r="A45" s="3" t="s">
        <v>216</v>
      </c>
      <c r="B45" s="1" t="s">
        <v>35</v>
      </c>
      <c r="C45" s="1" t="s">
        <v>36</v>
      </c>
      <c r="D45" s="1" t="s">
        <v>37</v>
      </c>
      <c r="E45" s="1" t="s">
        <v>38</v>
      </c>
      <c r="F45" s="4" t="s">
        <v>22</v>
      </c>
      <c r="G45" s="136" t="s">
        <v>23</v>
      </c>
      <c r="H45" s="136"/>
      <c r="I45" s="136"/>
      <c r="J45" s="4">
        <v>7</v>
      </c>
      <c r="L45" s="1">
        <f t="shared" si="1"/>
        <v>5</v>
      </c>
      <c r="M45" s="6">
        <v>46001</v>
      </c>
      <c r="N45" s="6">
        <v>46007</v>
      </c>
      <c r="O45" s="109">
        <f t="shared" si="0"/>
        <v>0</v>
      </c>
    </row>
    <row r="46" spans="1:15" ht="15" customHeight="1" x14ac:dyDescent="0.25">
      <c r="A46" s="3" t="s">
        <v>216</v>
      </c>
      <c r="B46" s="1" t="s">
        <v>27</v>
      </c>
      <c r="C46" s="1" t="s">
        <v>28</v>
      </c>
      <c r="D46" s="1" t="s">
        <v>29</v>
      </c>
      <c r="E46" s="1" t="s">
        <v>30</v>
      </c>
      <c r="F46" s="4" t="s">
        <v>31</v>
      </c>
      <c r="G46" s="137" t="s">
        <v>32</v>
      </c>
      <c r="H46" s="137"/>
      <c r="I46" s="137"/>
      <c r="J46" s="112">
        <v>2</v>
      </c>
      <c r="L46" s="1">
        <f t="shared" si="1"/>
        <v>1</v>
      </c>
      <c r="M46" s="6">
        <v>46010</v>
      </c>
      <c r="N46" s="6">
        <v>46011</v>
      </c>
      <c r="O46" s="109">
        <f t="shared" si="0"/>
        <v>0</v>
      </c>
    </row>
    <row r="47" spans="1:15" ht="15" customHeight="1" x14ac:dyDescent="0.25">
      <c r="A47" s="3" t="s">
        <v>216</v>
      </c>
      <c r="B47" s="1" t="s">
        <v>65</v>
      </c>
      <c r="C47" s="1" t="s">
        <v>66</v>
      </c>
      <c r="D47" s="1" t="s">
        <v>67</v>
      </c>
      <c r="E47" s="1" t="s">
        <v>38</v>
      </c>
      <c r="F47" s="4" t="s">
        <v>22</v>
      </c>
      <c r="G47" s="137" t="s">
        <v>23</v>
      </c>
      <c r="H47" s="137"/>
      <c r="I47" s="137"/>
      <c r="J47" s="4">
        <v>2</v>
      </c>
      <c r="L47" s="1">
        <f t="shared" si="1"/>
        <v>2</v>
      </c>
      <c r="M47" s="6">
        <v>45992</v>
      </c>
      <c r="N47" s="6">
        <v>45993</v>
      </c>
      <c r="O47" s="109">
        <f t="shared" si="0"/>
        <v>0</v>
      </c>
    </row>
    <row r="48" spans="1:15" ht="15" customHeight="1" x14ac:dyDescent="0.25">
      <c r="J48" s="1">
        <f>SUM(J11:J47)</f>
        <v>435</v>
      </c>
      <c r="L48" s="1">
        <f>SUM(L11:L47)</f>
        <v>309</v>
      </c>
    </row>
    <row r="50" spans="1:15" ht="15" customHeight="1" thickBot="1" x14ac:dyDescent="0.3">
      <c r="A50" s="15" t="s">
        <v>76</v>
      </c>
    </row>
    <row r="51" spans="1:15" ht="15" customHeight="1" x14ac:dyDescent="0.25">
      <c r="F51" s="7">
        <v>45658</v>
      </c>
      <c r="G51" s="8">
        <v>45764</v>
      </c>
      <c r="H51" s="8">
        <v>45765</v>
      </c>
      <c r="I51" s="8">
        <v>45778</v>
      </c>
      <c r="J51" s="8">
        <v>45815</v>
      </c>
    </row>
    <row r="52" spans="1:15" ht="15" customHeight="1" x14ac:dyDescent="0.25">
      <c r="F52" s="9">
        <v>45837</v>
      </c>
      <c r="G52" s="10">
        <v>45861</v>
      </c>
      <c r="H52" s="10">
        <v>45866</v>
      </c>
      <c r="I52" s="10">
        <v>45867</v>
      </c>
      <c r="J52" s="11">
        <v>45875</v>
      </c>
    </row>
    <row r="53" spans="1:15" ht="15" customHeight="1" x14ac:dyDescent="0.25">
      <c r="F53" s="9">
        <v>45899</v>
      </c>
      <c r="G53" s="10">
        <v>45938</v>
      </c>
      <c r="H53" s="10">
        <v>45962</v>
      </c>
      <c r="I53" s="10">
        <v>45999</v>
      </c>
      <c r="J53" s="11">
        <v>46000</v>
      </c>
    </row>
    <row r="54" spans="1:15" ht="15" customHeight="1" thickBot="1" x14ac:dyDescent="0.3">
      <c r="F54" s="12">
        <v>46016</v>
      </c>
      <c r="G54" s="13"/>
      <c r="H54" s="13"/>
      <c r="I54" s="13"/>
      <c r="J54" s="14"/>
    </row>
    <row r="55" spans="1:15" ht="15" customHeight="1" x14ac:dyDescent="0.3">
      <c r="L55" s="25" t="s">
        <v>98</v>
      </c>
    </row>
    <row r="56" spans="1:15" ht="15" customHeight="1" x14ac:dyDescent="0.3">
      <c r="B56" s="1" t="s">
        <v>94</v>
      </c>
      <c r="C56" s="1" t="s">
        <v>93</v>
      </c>
      <c r="D56" s="1" t="s">
        <v>92</v>
      </c>
      <c r="E56" s="24" t="s">
        <v>92</v>
      </c>
      <c r="F56" s="25" t="s">
        <v>95</v>
      </c>
      <c r="G56" s="1" t="s">
        <v>96</v>
      </c>
      <c r="J56" s="1" t="s">
        <v>97</v>
      </c>
      <c r="L56" s="25" t="s">
        <v>99</v>
      </c>
    </row>
    <row r="57" spans="1:15" ht="15" customHeight="1" x14ac:dyDescent="0.25">
      <c r="B57" s="20" t="s">
        <v>51</v>
      </c>
      <c r="C57" s="20" t="s">
        <v>77</v>
      </c>
      <c r="D57" s="21">
        <v>42278</v>
      </c>
      <c r="E57" s="6">
        <v>45658</v>
      </c>
      <c r="F57" s="6">
        <v>46022</v>
      </c>
      <c r="G57" s="1">
        <f>NETWORKDAYS.INTL(E57,F57,1,$F$51:$J$54)</f>
        <v>249</v>
      </c>
      <c r="J57" s="1">
        <f t="shared" ref="J57:J71" si="2">SUMIF($B$11:$B$47,B57,$L$11:$L$47)</f>
        <v>12</v>
      </c>
      <c r="L57" s="1">
        <f>+G57-J57</f>
        <v>237</v>
      </c>
      <c r="N57" s="1" t="str">
        <f>VLOOKUP(B57,DIC_2025!$C$6:$C$20,1,)</f>
        <v>46345862</v>
      </c>
      <c r="O57" s="48">
        <f>+B57-N57</f>
        <v>0</v>
      </c>
    </row>
    <row r="58" spans="1:15" ht="15" customHeight="1" x14ac:dyDescent="0.25">
      <c r="B58" s="20" t="s">
        <v>61</v>
      </c>
      <c r="C58" s="20" t="s">
        <v>78</v>
      </c>
      <c r="D58" s="21">
        <v>42297</v>
      </c>
      <c r="E58" s="6">
        <v>45658</v>
      </c>
      <c r="F58" s="6">
        <v>46022</v>
      </c>
      <c r="G58" s="1">
        <f t="shared" ref="G58:G71" si="3">NETWORKDAYS.INTL(E58,F58,1,$F$51:$J$54)</f>
        <v>249</v>
      </c>
      <c r="J58" s="1">
        <f t="shared" si="2"/>
        <v>19</v>
      </c>
      <c r="L58" s="1">
        <f t="shared" ref="L58:L71" si="4">+G58-J58</f>
        <v>230</v>
      </c>
      <c r="N58" s="1" t="str">
        <f>VLOOKUP(B58,DIC_2025!$C$6:$C$20,1,)</f>
        <v>72196931</v>
      </c>
      <c r="O58" s="48">
        <f t="shared" ref="O58:O71" si="5">+B58-N58</f>
        <v>0</v>
      </c>
    </row>
    <row r="59" spans="1:15" ht="15" customHeight="1" x14ac:dyDescent="0.25">
      <c r="B59" s="20" t="s">
        <v>47</v>
      </c>
      <c r="C59" s="20" t="s">
        <v>79</v>
      </c>
      <c r="D59" s="21">
        <v>40634</v>
      </c>
      <c r="E59" s="6">
        <v>45658</v>
      </c>
      <c r="F59" s="6">
        <v>46022</v>
      </c>
      <c r="G59" s="1">
        <f t="shared" si="3"/>
        <v>249</v>
      </c>
      <c r="J59" s="1">
        <f t="shared" si="2"/>
        <v>20</v>
      </c>
      <c r="L59" s="1">
        <f t="shared" si="4"/>
        <v>229</v>
      </c>
      <c r="N59" s="1" t="str">
        <f>VLOOKUP(B59,DIC_2025!$C$6:$C$20,1,)</f>
        <v>41194847</v>
      </c>
      <c r="O59" s="48">
        <f t="shared" si="5"/>
        <v>0</v>
      </c>
    </row>
    <row r="60" spans="1:15" ht="15" customHeight="1" x14ac:dyDescent="0.25">
      <c r="B60" s="20" t="s">
        <v>58</v>
      </c>
      <c r="C60" s="20" t="s">
        <v>80</v>
      </c>
      <c r="D60" s="21">
        <v>40817</v>
      </c>
      <c r="E60" s="6">
        <v>45658</v>
      </c>
      <c r="F60" s="6">
        <v>46022</v>
      </c>
      <c r="G60" s="1">
        <f t="shared" si="3"/>
        <v>249</v>
      </c>
      <c r="J60" s="1">
        <f t="shared" si="2"/>
        <v>15</v>
      </c>
      <c r="L60" s="1">
        <f t="shared" si="4"/>
        <v>234</v>
      </c>
      <c r="N60" s="1" t="str">
        <f>VLOOKUP(B60,DIC_2025!$C$6:$C$20,1,)</f>
        <v>41202202</v>
      </c>
      <c r="O60" s="48">
        <f t="shared" si="5"/>
        <v>0</v>
      </c>
    </row>
    <row r="61" spans="1:15" ht="15" customHeight="1" x14ac:dyDescent="0.25">
      <c r="B61" s="20" t="s">
        <v>27</v>
      </c>
      <c r="C61" s="20" t="s">
        <v>81</v>
      </c>
      <c r="D61" s="21">
        <v>40180</v>
      </c>
      <c r="E61" s="6">
        <v>45658</v>
      </c>
      <c r="F61" s="6">
        <v>46022</v>
      </c>
      <c r="G61" s="1">
        <f t="shared" si="3"/>
        <v>249</v>
      </c>
      <c r="J61" s="1">
        <f t="shared" si="2"/>
        <v>26</v>
      </c>
      <c r="L61" s="1">
        <f t="shared" si="4"/>
        <v>223</v>
      </c>
      <c r="N61" s="1" t="str">
        <f>VLOOKUP(B61,DIC_2025!$C$6:$C$20,1,)</f>
        <v>42263949</v>
      </c>
      <c r="O61" s="48">
        <f t="shared" si="5"/>
        <v>0</v>
      </c>
    </row>
    <row r="62" spans="1:15" ht="15" customHeight="1" x14ac:dyDescent="0.25">
      <c r="B62" s="20" t="s">
        <v>72</v>
      </c>
      <c r="C62" s="20" t="s">
        <v>82</v>
      </c>
      <c r="D62" s="21">
        <v>42767</v>
      </c>
      <c r="E62" s="6">
        <v>45658</v>
      </c>
      <c r="F62" s="6">
        <v>46022</v>
      </c>
      <c r="G62" s="1">
        <f t="shared" si="3"/>
        <v>249</v>
      </c>
      <c r="J62" s="1">
        <f t="shared" si="2"/>
        <v>18</v>
      </c>
      <c r="L62" s="1">
        <f t="shared" si="4"/>
        <v>231</v>
      </c>
      <c r="N62" s="1" t="str">
        <f>VLOOKUP(B62,DIC_2025!$C$6:$C$20,1,)</f>
        <v>46098021</v>
      </c>
      <c r="O62" s="48">
        <f t="shared" si="5"/>
        <v>0</v>
      </c>
    </row>
    <row r="63" spans="1:15" ht="15" customHeight="1" x14ac:dyDescent="0.25">
      <c r="B63" s="20" t="s">
        <v>24</v>
      </c>
      <c r="C63" s="20" t="s">
        <v>83</v>
      </c>
      <c r="D63" s="21">
        <v>37803</v>
      </c>
      <c r="E63" s="6">
        <v>45658</v>
      </c>
      <c r="F63" s="6">
        <v>46022</v>
      </c>
      <c r="G63" s="1">
        <f t="shared" si="3"/>
        <v>249</v>
      </c>
      <c r="J63" s="1">
        <f t="shared" si="2"/>
        <v>20</v>
      </c>
      <c r="L63" s="1">
        <f t="shared" si="4"/>
        <v>229</v>
      </c>
      <c r="N63" s="1" t="str">
        <f>VLOOKUP(B63,DIC_2025!$C$6:$C$20,1,)</f>
        <v>40243954</v>
      </c>
      <c r="O63" s="48">
        <f t="shared" si="5"/>
        <v>0</v>
      </c>
    </row>
    <row r="64" spans="1:15" ht="15" customHeight="1" x14ac:dyDescent="0.25">
      <c r="B64" s="20" t="s">
        <v>33</v>
      </c>
      <c r="C64" s="20" t="s">
        <v>84</v>
      </c>
      <c r="D64" s="21">
        <v>42296</v>
      </c>
      <c r="E64" s="6">
        <v>45658</v>
      </c>
      <c r="F64" s="6">
        <v>46022</v>
      </c>
      <c r="G64" s="1">
        <f t="shared" si="3"/>
        <v>249</v>
      </c>
      <c r="J64" s="1">
        <f t="shared" si="2"/>
        <v>20</v>
      </c>
      <c r="L64" s="1">
        <f t="shared" si="4"/>
        <v>229</v>
      </c>
      <c r="N64" s="1" t="str">
        <f>VLOOKUP(B64,DIC_2025!$C$6:$C$20,1,)</f>
        <v>10798282</v>
      </c>
      <c r="O64" s="48">
        <f t="shared" si="5"/>
        <v>0</v>
      </c>
    </row>
    <row r="65" spans="2:15" ht="15" customHeight="1" x14ac:dyDescent="0.25">
      <c r="B65" s="20" t="s">
        <v>18</v>
      </c>
      <c r="C65" s="20" t="s">
        <v>85</v>
      </c>
      <c r="D65" s="21">
        <v>35933</v>
      </c>
      <c r="E65" s="6">
        <v>45658</v>
      </c>
      <c r="F65" s="6">
        <v>46022</v>
      </c>
      <c r="G65" s="1">
        <f t="shared" si="3"/>
        <v>249</v>
      </c>
      <c r="J65" s="1">
        <f t="shared" si="2"/>
        <v>20</v>
      </c>
      <c r="L65" s="1">
        <f t="shared" si="4"/>
        <v>229</v>
      </c>
      <c r="N65" s="1" t="str">
        <f>VLOOKUP(B65,DIC_2025!$C$6:$C$20,1,)</f>
        <v>09859427</v>
      </c>
      <c r="O65" s="48">
        <f t="shared" si="5"/>
        <v>0</v>
      </c>
    </row>
    <row r="66" spans="2:15" ht="15" customHeight="1" x14ac:dyDescent="0.25">
      <c r="B66" s="20" t="s">
        <v>35</v>
      </c>
      <c r="C66" s="20" t="s">
        <v>86</v>
      </c>
      <c r="D66" s="21">
        <v>41518</v>
      </c>
      <c r="E66" s="6">
        <v>45658</v>
      </c>
      <c r="F66" s="6">
        <v>46022</v>
      </c>
      <c r="G66" s="1">
        <f t="shared" si="3"/>
        <v>249</v>
      </c>
      <c r="J66" s="1">
        <f t="shared" si="2"/>
        <v>24</v>
      </c>
      <c r="L66" s="1">
        <f t="shared" si="4"/>
        <v>225</v>
      </c>
      <c r="N66" s="1" t="str">
        <f>VLOOKUP(B66,DIC_2025!$C$6:$C$20,1,)</f>
        <v>41320534</v>
      </c>
      <c r="O66" s="48">
        <f t="shared" si="5"/>
        <v>0</v>
      </c>
    </row>
    <row r="67" spans="2:15" ht="15" customHeight="1" x14ac:dyDescent="0.25">
      <c r="B67" s="20" t="s">
        <v>43</v>
      </c>
      <c r="C67" s="20" t="s">
        <v>87</v>
      </c>
      <c r="D67" s="21">
        <v>41334</v>
      </c>
      <c r="E67" s="6">
        <v>45658</v>
      </c>
      <c r="F67" s="6">
        <v>46022</v>
      </c>
      <c r="G67" s="1">
        <f t="shared" si="3"/>
        <v>249</v>
      </c>
      <c r="J67" s="1">
        <f t="shared" si="2"/>
        <v>22</v>
      </c>
      <c r="L67" s="1">
        <f t="shared" si="4"/>
        <v>227</v>
      </c>
      <c r="N67" s="1" t="str">
        <f>VLOOKUP(B67,DIC_2025!$C$6:$C$20,1,)</f>
        <v>44262618</v>
      </c>
      <c r="O67" s="48">
        <f t="shared" si="5"/>
        <v>0</v>
      </c>
    </row>
    <row r="68" spans="2:15" ht="15" customHeight="1" x14ac:dyDescent="0.25">
      <c r="B68" s="20" t="s">
        <v>55</v>
      </c>
      <c r="C68" s="20" t="s">
        <v>88</v>
      </c>
      <c r="D68" s="21">
        <v>38504</v>
      </c>
      <c r="E68" s="6">
        <v>45658</v>
      </c>
      <c r="F68" s="6">
        <v>46022</v>
      </c>
      <c r="G68" s="1">
        <f t="shared" si="3"/>
        <v>249</v>
      </c>
      <c r="J68" s="1">
        <f t="shared" si="2"/>
        <v>18</v>
      </c>
      <c r="L68" s="1">
        <f t="shared" si="4"/>
        <v>231</v>
      </c>
      <c r="N68" s="1" t="str">
        <f>VLOOKUP(B68,DIC_2025!$C$6:$C$20,1,)</f>
        <v>40640169</v>
      </c>
      <c r="O68" s="48">
        <f t="shared" si="5"/>
        <v>0</v>
      </c>
    </row>
    <row r="69" spans="2:15" ht="15" customHeight="1" x14ac:dyDescent="0.25">
      <c r="B69" s="20" t="s">
        <v>65</v>
      </c>
      <c r="C69" s="20" t="s">
        <v>89</v>
      </c>
      <c r="D69" s="21">
        <v>41928</v>
      </c>
      <c r="E69" s="6">
        <v>45658</v>
      </c>
      <c r="F69" s="6">
        <v>46022</v>
      </c>
      <c r="G69" s="1">
        <f t="shared" si="3"/>
        <v>249</v>
      </c>
      <c r="J69" s="1">
        <f t="shared" si="2"/>
        <v>24</v>
      </c>
      <c r="L69" s="1">
        <f t="shared" si="4"/>
        <v>225</v>
      </c>
      <c r="N69" s="1" t="str">
        <f>VLOOKUP(B69,DIC_2025!$C$6:$C$20,1,)</f>
        <v>46419969</v>
      </c>
      <c r="O69" s="48">
        <f t="shared" si="5"/>
        <v>0</v>
      </c>
    </row>
    <row r="70" spans="2:15" ht="15" customHeight="1" x14ac:dyDescent="0.25">
      <c r="B70" s="20" t="s">
        <v>39</v>
      </c>
      <c r="C70" s="20" t="s">
        <v>90</v>
      </c>
      <c r="D70" s="21">
        <v>42233</v>
      </c>
      <c r="E70" s="6">
        <v>45658</v>
      </c>
      <c r="F70" s="6">
        <v>46022</v>
      </c>
      <c r="G70" s="1">
        <f t="shared" si="3"/>
        <v>249</v>
      </c>
      <c r="J70" s="1">
        <f t="shared" si="2"/>
        <v>34</v>
      </c>
      <c r="L70" s="1">
        <f t="shared" si="4"/>
        <v>215</v>
      </c>
      <c r="N70" s="1" t="str">
        <f>VLOOKUP(B70,DIC_2025!$C$6:$C$20,1,)</f>
        <v>43658082</v>
      </c>
      <c r="O70" s="48">
        <f t="shared" si="5"/>
        <v>0</v>
      </c>
    </row>
    <row r="71" spans="2:15" ht="15" customHeight="1" x14ac:dyDescent="0.25">
      <c r="B71" s="22" t="s">
        <v>68</v>
      </c>
      <c r="C71" s="22" t="s">
        <v>91</v>
      </c>
      <c r="D71" s="23">
        <v>44743</v>
      </c>
      <c r="E71" s="6">
        <v>45658</v>
      </c>
      <c r="F71" s="6">
        <v>45996</v>
      </c>
      <c r="G71" s="1">
        <f t="shared" si="3"/>
        <v>234</v>
      </c>
      <c r="J71" s="1">
        <f t="shared" si="2"/>
        <v>17</v>
      </c>
      <c r="L71" s="1">
        <f t="shared" si="4"/>
        <v>217</v>
      </c>
      <c r="N71" s="1" t="str">
        <f>VLOOKUP(B71,DIC_2025!$C$6:$C$20,1,)</f>
        <v>73093059</v>
      </c>
      <c r="O71" s="48">
        <f t="shared" si="5"/>
        <v>0</v>
      </c>
    </row>
    <row r="72" spans="2:15" ht="15" customHeight="1" x14ac:dyDescent="0.25">
      <c r="G72" s="96">
        <f>SUM(G57:G71)</f>
        <v>3720</v>
      </c>
      <c r="H72" s="96"/>
      <c r="I72" s="96"/>
      <c r="J72" s="96">
        <f>SUM(J57:J71)</f>
        <v>309</v>
      </c>
      <c r="K72" s="96"/>
      <c r="L72" s="96">
        <f t="shared" ref="L72" si="6">+G72-J72</f>
        <v>3411</v>
      </c>
    </row>
    <row r="65522" spans="17:17" ht="15" customHeight="1" x14ac:dyDescent="0.25">
      <c r="Q65522" s="6"/>
    </row>
  </sheetData>
  <autoFilter ref="A10:R48" xr:uid="{94F5F175-80F1-431C-B590-7453F8BA7021}">
    <filterColumn colId="6" showButton="0"/>
    <filterColumn colId="7" showButton="0"/>
  </autoFilter>
  <mergeCells count="51">
    <mergeCell ref="G47:I47"/>
    <mergeCell ref="G40:I40"/>
    <mergeCell ref="G41:I41"/>
    <mergeCell ref="G42:I42"/>
    <mergeCell ref="G43:I43"/>
    <mergeCell ref="G44:I44"/>
    <mergeCell ref="G45:I45"/>
    <mergeCell ref="G36:I36"/>
    <mergeCell ref="G37:I37"/>
    <mergeCell ref="G38:I38"/>
    <mergeCell ref="G39:I39"/>
    <mergeCell ref="G46:I46"/>
    <mergeCell ref="G31:I31"/>
    <mergeCell ref="G32:I32"/>
    <mergeCell ref="G33:I33"/>
    <mergeCell ref="G34:I34"/>
    <mergeCell ref="G35:I35"/>
    <mergeCell ref="G26:I26"/>
    <mergeCell ref="G27:I27"/>
    <mergeCell ref="G28:I28"/>
    <mergeCell ref="G29:I29"/>
    <mergeCell ref="G30:I30"/>
    <mergeCell ref="G21:I21"/>
    <mergeCell ref="G22:I22"/>
    <mergeCell ref="G23:I23"/>
    <mergeCell ref="G24:I24"/>
    <mergeCell ref="G25:I25"/>
    <mergeCell ref="G16:I16"/>
    <mergeCell ref="G17:I17"/>
    <mergeCell ref="G18:I18"/>
    <mergeCell ref="G19:I19"/>
    <mergeCell ref="G20:I20"/>
    <mergeCell ref="G11:I11"/>
    <mergeCell ref="G12:I12"/>
    <mergeCell ref="G13:I13"/>
    <mergeCell ref="G14:I14"/>
    <mergeCell ref="G15:I15"/>
    <mergeCell ref="A8:E8"/>
    <mergeCell ref="F8:J8"/>
    <mergeCell ref="A9:B9"/>
    <mergeCell ref="C9:C10"/>
    <mergeCell ref="D9:D10"/>
    <mergeCell ref="E9:E10"/>
    <mergeCell ref="F9:F10"/>
    <mergeCell ref="G9:I10"/>
    <mergeCell ref="J9:J10"/>
    <mergeCell ref="A2:E2"/>
    <mergeCell ref="A3:J3"/>
    <mergeCell ref="A4:J4"/>
    <mergeCell ref="A5:J5"/>
    <mergeCell ref="A6:J6"/>
  </mergeCells>
  <pageMargins left="0.6" right="0.5" top="0.5" bottom="0.4" header="0.2" footer="0.2"/>
  <pageSetup paperSize="9" scale="80" orientation="portrait"/>
  <headerFooter>
    <oddHeader>&amp;L&amp;"Calibri"&amp;10Superintendencia Nacional de Aduanas y Administración Tributaria&amp;RPágina: &amp;N</oddHeader>
    <oddFooter>Generado por el PDT Planilla Electrónica PLAME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E63A-2B34-4D2C-A2D9-1E5C1573E4FE}">
  <dimension ref="A1:U19"/>
  <sheetViews>
    <sheetView topLeftCell="E1" workbookViewId="0">
      <selection activeCell="I26" sqref="I26"/>
    </sheetView>
  </sheetViews>
  <sheetFormatPr baseColWidth="10" defaultRowHeight="14.4" x14ac:dyDescent="0.3"/>
  <sheetData>
    <row r="1" spans="1:21" x14ac:dyDescent="0.3">
      <c r="A1" s="128" t="s">
        <v>6</v>
      </c>
      <c r="B1" s="129"/>
      <c r="C1" s="129"/>
      <c r="D1" s="129"/>
      <c r="E1" s="129"/>
    </row>
    <row r="2" spans="1:21" x14ac:dyDescent="0.3">
      <c r="A2" s="128" t="s">
        <v>8</v>
      </c>
      <c r="B2" s="130"/>
      <c r="C2" s="131" t="s">
        <v>9</v>
      </c>
      <c r="D2" s="131" t="s">
        <v>10</v>
      </c>
      <c r="E2" s="131" t="s">
        <v>11</v>
      </c>
      <c r="F2" s="146" t="s">
        <v>203</v>
      </c>
      <c r="G2" s="148" t="s">
        <v>204</v>
      </c>
    </row>
    <row r="3" spans="1:21" x14ac:dyDescent="0.3">
      <c r="A3" s="2" t="s">
        <v>15</v>
      </c>
      <c r="B3" s="2" t="s">
        <v>16</v>
      </c>
      <c r="C3" s="132"/>
      <c r="D3" s="132"/>
      <c r="E3" s="132"/>
      <c r="F3" s="147"/>
      <c r="G3" s="149"/>
      <c r="I3" s="54" t="s">
        <v>205</v>
      </c>
      <c r="J3" s="54" t="s">
        <v>206</v>
      </c>
      <c r="K3" s="54" t="s">
        <v>207</v>
      </c>
      <c r="L3" s="54" t="s">
        <v>208</v>
      </c>
      <c r="M3" s="54" t="s">
        <v>209</v>
      </c>
      <c r="N3" s="54" t="s">
        <v>210</v>
      </c>
      <c r="O3" s="54" t="s">
        <v>211</v>
      </c>
      <c r="P3" s="54" t="s">
        <v>212</v>
      </c>
      <c r="Q3" s="54" t="s">
        <v>213</v>
      </c>
      <c r="R3" s="54" t="s">
        <v>214</v>
      </c>
      <c r="S3" s="54" t="s">
        <v>215</v>
      </c>
      <c r="T3" s="54" t="s">
        <v>216</v>
      </c>
      <c r="U3" s="55" t="s">
        <v>220</v>
      </c>
    </row>
    <row r="4" spans="1:21" x14ac:dyDescent="0.3">
      <c r="A4" s="3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50">
        <v>45658</v>
      </c>
      <c r="G4" s="50">
        <v>46022</v>
      </c>
      <c r="I4" s="49">
        <v>3800</v>
      </c>
      <c r="J4" s="49">
        <v>3800</v>
      </c>
      <c r="K4" s="49">
        <v>3799.9999999999995</v>
      </c>
      <c r="L4" s="49">
        <v>3800</v>
      </c>
      <c r="M4" s="49">
        <v>3800</v>
      </c>
      <c r="N4" s="49">
        <v>3800</v>
      </c>
      <c r="O4" s="49">
        <v>7600</v>
      </c>
      <c r="P4" s="49">
        <v>3800</v>
      </c>
      <c r="Q4" s="49">
        <v>3800</v>
      </c>
      <c r="R4" s="49">
        <v>3800</v>
      </c>
      <c r="S4" s="49">
        <v>3800</v>
      </c>
      <c r="T4" s="49">
        <v>7600</v>
      </c>
      <c r="U4" s="56">
        <f>SUM(I4:T4)</f>
        <v>53200</v>
      </c>
    </row>
    <row r="5" spans="1:21" x14ac:dyDescent="0.3">
      <c r="A5" s="3" t="s">
        <v>17</v>
      </c>
      <c r="B5" s="1" t="s">
        <v>33</v>
      </c>
      <c r="C5" s="1" t="s">
        <v>19</v>
      </c>
      <c r="D5" s="1" t="s">
        <v>25</v>
      </c>
      <c r="E5" s="1" t="s">
        <v>34</v>
      </c>
      <c r="F5" s="50">
        <v>45658</v>
      </c>
      <c r="G5" s="50">
        <v>46022</v>
      </c>
      <c r="I5" s="49">
        <v>10113</v>
      </c>
      <c r="J5" s="49">
        <v>10113</v>
      </c>
      <c r="K5" s="49">
        <v>10113</v>
      </c>
      <c r="L5" s="49">
        <v>10113</v>
      </c>
      <c r="M5" s="49">
        <v>10113</v>
      </c>
      <c r="N5" s="49">
        <v>10113</v>
      </c>
      <c r="O5" s="49">
        <v>20226</v>
      </c>
      <c r="P5" s="49">
        <v>10113</v>
      </c>
      <c r="Q5" s="49">
        <v>10113</v>
      </c>
      <c r="R5" s="49">
        <v>10113</v>
      </c>
      <c r="S5" s="49">
        <v>10113</v>
      </c>
      <c r="T5" s="49">
        <v>20226</v>
      </c>
      <c r="U5" s="56">
        <f t="shared" ref="U5:U19" si="0">SUM(I5:T5)</f>
        <v>141582</v>
      </c>
    </row>
    <row r="6" spans="1:21" x14ac:dyDescent="0.3">
      <c r="A6" s="3" t="s">
        <v>17</v>
      </c>
      <c r="B6" s="1" t="s">
        <v>24</v>
      </c>
      <c r="C6" s="1" t="s">
        <v>19</v>
      </c>
      <c r="D6" s="1" t="s">
        <v>25</v>
      </c>
      <c r="E6" s="1" t="s">
        <v>26</v>
      </c>
      <c r="F6" s="50">
        <v>45658</v>
      </c>
      <c r="G6" s="50">
        <v>46022</v>
      </c>
      <c r="I6" s="49">
        <v>15000</v>
      </c>
      <c r="J6" s="49">
        <v>15000</v>
      </c>
      <c r="K6" s="49">
        <v>15000.000000000002</v>
      </c>
      <c r="L6" s="49">
        <v>15000</v>
      </c>
      <c r="M6" s="49">
        <v>15000.000000000002</v>
      </c>
      <c r="N6" s="49">
        <v>15000</v>
      </c>
      <c r="O6" s="49">
        <v>30000</v>
      </c>
      <c r="P6" s="49">
        <v>15000</v>
      </c>
      <c r="Q6" s="49">
        <v>15000</v>
      </c>
      <c r="R6" s="49">
        <v>15000</v>
      </c>
      <c r="S6" s="49">
        <v>15000</v>
      </c>
      <c r="T6" s="49">
        <v>30000</v>
      </c>
      <c r="U6" s="56">
        <f t="shared" si="0"/>
        <v>210000</v>
      </c>
    </row>
    <row r="7" spans="1:21" x14ac:dyDescent="0.3">
      <c r="A7" s="3" t="s">
        <v>17</v>
      </c>
      <c r="B7" s="1" t="s">
        <v>55</v>
      </c>
      <c r="C7" s="1" t="s">
        <v>56</v>
      </c>
      <c r="D7" s="1" t="s">
        <v>28</v>
      </c>
      <c r="E7" s="1" t="s">
        <v>57</v>
      </c>
      <c r="F7" s="50">
        <v>45658</v>
      </c>
      <c r="G7" s="50">
        <v>46022</v>
      </c>
      <c r="I7" s="49">
        <v>3500</v>
      </c>
      <c r="J7" s="49">
        <v>3500</v>
      </c>
      <c r="K7" s="49">
        <v>3500</v>
      </c>
      <c r="L7" s="49">
        <v>3500</v>
      </c>
      <c r="M7" s="49">
        <v>3500</v>
      </c>
      <c r="N7" s="49">
        <v>3500</v>
      </c>
      <c r="O7" s="49">
        <v>7000</v>
      </c>
      <c r="P7" s="49">
        <v>3500</v>
      </c>
      <c r="Q7" s="49">
        <v>3500</v>
      </c>
      <c r="R7" s="49">
        <v>3500</v>
      </c>
      <c r="S7" s="49">
        <v>3500</v>
      </c>
      <c r="T7" s="49">
        <v>7000</v>
      </c>
      <c r="U7" s="56">
        <f t="shared" si="0"/>
        <v>49000</v>
      </c>
    </row>
    <row r="8" spans="1:21" x14ac:dyDescent="0.3">
      <c r="A8" s="3" t="s">
        <v>17</v>
      </c>
      <c r="B8" s="1" t="s">
        <v>47</v>
      </c>
      <c r="C8" s="1" t="s">
        <v>48</v>
      </c>
      <c r="D8" s="1" t="s">
        <v>49</v>
      </c>
      <c r="E8" s="1" t="s">
        <v>50</v>
      </c>
      <c r="F8" s="50">
        <v>45658</v>
      </c>
      <c r="G8" s="50">
        <v>46022</v>
      </c>
      <c r="I8" s="49">
        <v>3800</v>
      </c>
      <c r="J8" s="49">
        <v>3800</v>
      </c>
      <c r="K8" s="49">
        <v>3800</v>
      </c>
      <c r="L8" s="49">
        <v>3800</v>
      </c>
      <c r="M8" s="49">
        <v>3800</v>
      </c>
      <c r="N8" s="49">
        <v>3800</v>
      </c>
      <c r="O8" s="49">
        <v>7600</v>
      </c>
      <c r="P8" s="49">
        <v>3800</v>
      </c>
      <c r="Q8" s="49">
        <v>3800</v>
      </c>
      <c r="R8" s="49">
        <v>3800</v>
      </c>
      <c r="S8" s="49">
        <v>3800</v>
      </c>
      <c r="T8" s="49">
        <v>10100</v>
      </c>
      <c r="U8" s="56">
        <f t="shared" si="0"/>
        <v>55700</v>
      </c>
    </row>
    <row r="9" spans="1:21" x14ac:dyDescent="0.3">
      <c r="A9" s="3" t="s">
        <v>17</v>
      </c>
      <c r="B9" s="1" t="s">
        <v>58</v>
      </c>
      <c r="C9" s="1" t="s">
        <v>49</v>
      </c>
      <c r="D9" s="1" t="s">
        <v>59</v>
      </c>
      <c r="E9" s="1" t="s">
        <v>60</v>
      </c>
      <c r="F9" s="50">
        <v>45658</v>
      </c>
      <c r="G9" s="50">
        <v>46022</v>
      </c>
      <c r="I9" s="49">
        <v>3913</v>
      </c>
      <c r="J9" s="49">
        <v>3913</v>
      </c>
      <c r="K9" s="49">
        <v>3913</v>
      </c>
      <c r="L9" s="49">
        <v>3913</v>
      </c>
      <c r="M9" s="49">
        <v>3913</v>
      </c>
      <c r="N9" s="49">
        <v>3913</v>
      </c>
      <c r="O9" s="49">
        <v>7826</v>
      </c>
      <c r="P9" s="49">
        <v>3913</v>
      </c>
      <c r="Q9" s="49">
        <v>3913</v>
      </c>
      <c r="R9" s="49">
        <v>3913</v>
      </c>
      <c r="S9" s="49">
        <v>3913</v>
      </c>
      <c r="T9" s="49">
        <v>10826</v>
      </c>
      <c r="U9" s="56">
        <f t="shared" si="0"/>
        <v>57782</v>
      </c>
    </row>
    <row r="10" spans="1:21" x14ac:dyDescent="0.3">
      <c r="A10" s="3" t="s">
        <v>17</v>
      </c>
      <c r="B10" s="1" t="s">
        <v>35</v>
      </c>
      <c r="C10" s="1" t="s">
        <v>36</v>
      </c>
      <c r="D10" s="1" t="s">
        <v>37</v>
      </c>
      <c r="E10" s="1" t="s">
        <v>38</v>
      </c>
      <c r="F10" s="50">
        <v>45658</v>
      </c>
      <c r="G10" s="50">
        <v>46022</v>
      </c>
      <c r="I10" s="49">
        <v>2813</v>
      </c>
      <c r="J10" s="49">
        <v>2813</v>
      </c>
      <c r="K10" s="49">
        <v>2812.9999999999995</v>
      </c>
      <c r="L10" s="49">
        <v>2813</v>
      </c>
      <c r="M10" s="49">
        <v>2813</v>
      </c>
      <c r="N10" s="49">
        <v>2813</v>
      </c>
      <c r="O10" s="49">
        <v>5626</v>
      </c>
      <c r="P10" s="49">
        <v>2813</v>
      </c>
      <c r="Q10" s="49">
        <v>2813</v>
      </c>
      <c r="R10" s="49">
        <v>2813</v>
      </c>
      <c r="S10" s="49">
        <v>2813</v>
      </c>
      <c r="T10" s="49">
        <v>7126</v>
      </c>
      <c r="U10" s="56">
        <f t="shared" si="0"/>
        <v>40882</v>
      </c>
    </row>
    <row r="11" spans="1:21" x14ac:dyDescent="0.3">
      <c r="A11" s="3" t="s">
        <v>17</v>
      </c>
      <c r="B11" s="1" t="s">
        <v>27</v>
      </c>
      <c r="C11" s="1" t="s">
        <v>28</v>
      </c>
      <c r="D11" s="1" t="s">
        <v>29</v>
      </c>
      <c r="E11" s="1" t="s">
        <v>30</v>
      </c>
      <c r="F11" s="50">
        <v>45658</v>
      </c>
      <c r="G11" s="50">
        <v>46022</v>
      </c>
      <c r="I11" s="49">
        <v>3913</v>
      </c>
      <c r="J11" s="49">
        <v>3913</v>
      </c>
      <c r="K11" s="49">
        <v>3912.9999999999995</v>
      </c>
      <c r="L11" s="49">
        <v>3913</v>
      </c>
      <c r="M11" s="49">
        <v>3913</v>
      </c>
      <c r="N11" s="49">
        <v>3913</v>
      </c>
      <c r="O11" s="49">
        <v>7826</v>
      </c>
      <c r="P11" s="49">
        <v>3913</v>
      </c>
      <c r="Q11" s="49">
        <v>3913</v>
      </c>
      <c r="R11" s="49">
        <v>3913</v>
      </c>
      <c r="S11" s="49">
        <v>3913</v>
      </c>
      <c r="T11" s="49">
        <v>9626</v>
      </c>
      <c r="U11" s="56">
        <f t="shared" si="0"/>
        <v>56582</v>
      </c>
    </row>
    <row r="12" spans="1:21" x14ac:dyDescent="0.3">
      <c r="A12" s="3" t="s">
        <v>17</v>
      </c>
      <c r="B12" s="1" t="s">
        <v>39</v>
      </c>
      <c r="C12" s="1" t="s">
        <v>40</v>
      </c>
      <c r="D12" s="1" t="s">
        <v>41</v>
      </c>
      <c r="E12" s="1" t="s">
        <v>42</v>
      </c>
      <c r="F12" s="50">
        <v>45658</v>
      </c>
      <c r="G12" s="50">
        <v>46022</v>
      </c>
      <c r="I12" s="49">
        <v>3200</v>
      </c>
      <c r="J12" s="49">
        <v>3200</v>
      </c>
      <c r="K12" s="49">
        <v>3200</v>
      </c>
      <c r="L12" s="49">
        <v>3200</v>
      </c>
      <c r="M12" s="49">
        <v>3200</v>
      </c>
      <c r="N12" s="49">
        <v>3200</v>
      </c>
      <c r="O12" s="49">
        <v>6400</v>
      </c>
      <c r="P12" s="49">
        <v>3200</v>
      </c>
      <c r="Q12" s="49">
        <v>3200</v>
      </c>
      <c r="R12" s="49">
        <v>3200</v>
      </c>
      <c r="S12" s="49">
        <v>3200</v>
      </c>
      <c r="T12" s="49">
        <v>7400</v>
      </c>
      <c r="U12" s="56">
        <f t="shared" si="0"/>
        <v>45800</v>
      </c>
    </row>
    <row r="13" spans="1:21" x14ac:dyDescent="0.3">
      <c r="A13" s="3" t="s">
        <v>17</v>
      </c>
      <c r="B13" s="1" t="s">
        <v>43</v>
      </c>
      <c r="C13" s="1" t="s">
        <v>44</v>
      </c>
      <c r="D13" s="1" t="s">
        <v>45</v>
      </c>
      <c r="E13" s="1" t="s">
        <v>46</v>
      </c>
      <c r="F13" s="50">
        <v>45658</v>
      </c>
      <c r="G13" s="50">
        <v>46022</v>
      </c>
      <c r="I13" s="49">
        <v>2913</v>
      </c>
      <c r="J13" s="49">
        <v>2913</v>
      </c>
      <c r="K13" s="49">
        <v>2913</v>
      </c>
      <c r="L13" s="49">
        <v>2913</v>
      </c>
      <c r="M13" s="49">
        <v>2913</v>
      </c>
      <c r="N13" s="49">
        <v>2913</v>
      </c>
      <c r="O13" s="49">
        <v>5826</v>
      </c>
      <c r="P13" s="49">
        <v>2913</v>
      </c>
      <c r="Q13" s="49">
        <v>2913</v>
      </c>
      <c r="R13" s="49">
        <v>2913</v>
      </c>
      <c r="S13" s="49">
        <v>2913</v>
      </c>
      <c r="T13" s="49">
        <v>5826</v>
      </c>
      <c r="U13" s="56">
        <f t="shared" si="0"/>
        <v>40782</v>
      </c>
    </row>
    <row r="14" spans="1:21" x14ac:dyDescent="0.3">
      <c r="A14" s="3" t="s">
        <v>17</v>
      </c>
      <c r="B14" s="1" t="s">
        <v>72</v>
      </c>
      <c r="C14" s="1" t="s">
        <v>28</v>
      </c>
      <c r="D14" s="1" t="s">
        <v>73</v>
      </c>
      <c r="E14" s="1" t="s">
        <v>74</v>
      </c>
      <c r="F14" s="50">
        <v>45658</v>
      </c>
      <c r="G14" s="50">
        <v>46022</v>
      </c>
      <c r="I14" s="49">
        <v>2500</v>
      </c>
      <c r="J14" s="49">
        <v>2500</v>
      </c>
      <c r="K14" s="49">
        <v>2500.0000000000005</v>
      </c>
      <c r="L14" s="49">
        <v>2500</v>
      </c>
      <c r="M14" s="49">
        <v>2500</v>
      </c>
      <c r="N14" s="49">
        <v>2500</v>
      </c>
      <c r="O14" s="49">
        <v>5000</v>
      </c>
      <c r="P14" s="49">
        <v>2500</v>
      </c>
      <c r="Q14" s="49">
        <v>2500</v>
      </c>
      <c r="R14" s="49">
        <v>2500</v>
      </c>
      <c r="S14" s="49">
        <v>2500</v>
      </c>
      <c r="T14" s="95">
        <v>6500</v>
      </c>
      <c r="U14" s="56">
        <f t="shared" si="0"/>
        <v>36500</v>
      </c>
    </row>
    <row r="15" spans="1:21" x14ac:dyDescent="0.3">
      <c r="A15" s="3" t="s">
        <v>17</v>
      </c>
      <c r="B15" s="1" t="s">
        <v>51</v>
      </c>
      <c r="C15" s="1" t="s">
        <v>52</v>
      </c>
      <c r="D15" s="1" t="s">
        <v>53</v>
      </c>
      <c r="E15" s="1" t="s">
        <v>54</v>
      </c>
      <c r="F15" s="50">
        <v>45658</v>
      </c>
      <c r="G15" s="50">
        <v>46022</v>
      </c>
      <c r="I15" s="49">
        <v>2700</v>
      </c>
      <c r="J15" s="49">
        <v>2700</v>
      </c>
      <c r="K15" s="49">
        <v>2699.9999999999995</v>
      </c>
      <c r="L15" s="49">
        <v>2700</v>
      </c>
      <c r="M15" s="49">
        <v>2700</v>
      </c>
      <c r="N15" s="49">
        <v>2700</v>
      </c>
      <c r="O15" s="49">
        <v>5400</v>
      </c>
      <c r="P15" s="49">
        <v>2700</v>
      </c>
      <c r="Q15" s="49">
        <v>3960</v>
      </c>
      <c r="R15" s="49">
        <v>2700</v>
      </c>
      <c r="S15" s="49">
        <v>2700</v>
      </c>
      <c r="T15" s="49">
        <v>5400</v>
      </c>
      <c r="U15" s="56">
        <f t="shared" si="0"/>
        <v>39060</v>
      </c>
    </row>
    <row r="16" spans="1:21" x14ac:dyDescent="0.3">
      <c r="A16" s="3" t="s">
        <v>17</v>
      </c>
      <c r="B16" s="1" t="s">
        <v>65</v>
      </c>
      <c r="C16" s="1" t="s">
        <v>66</v>
      </c>
      <c r="D16" s="1" t="s">
        <v>67</v>
      </c>
      <c r="E16" s="1" t="s">
        <v>38</v>
      </c>
      <c r="F16" s="50">
        <v>45658</v>
      </c>
      <c r="G16" s="50">
        <v>46022</v>
      </c>
      <c r="I16" s="49">
        <v>3113</v>
      </c>
      <c r="J16" s="49">
        <v>3113</v>
      </c>
      <c r="K16" s="49">
        <v>3113</v>
      </c>
      <c r="L16" s="49">
        <v>3113</v>
      </c>
      <c r="M16" s="49">
        <v>3113</v>
      </c>
      <c r="N16" s="49">
        <v>3113</v>
      </c>
      <c r="O16" s="49">
        <v>6226</v>
      </c>
      <c r="P16" s="49">
        <v>3113</v>
      </c>
      <c r="Q16" s="49">
        <v>3113</v>
      </c>
      <c r="R16" s="49">
        <v>3113</v>
      </c>
      <c r="S16" s="49">
        <v>3113</v>
      </c>
      <c r="T16" s="49">
        <v>8726</v>
      </c>
      <c r="U16" s="56">
        <f t="shared" si="0"/>
        <v>46082</v>
      </c>
    </row>
    <row r="17" spans="1:21" x14ac:dyDescent="0.3">
      <c r="A17" s="3" t="s">
        <v>17</v>
      </c>
      <c r="B17" s="1" t="s">
        <v>61</v>
      </c>
      <c r="C17" s="1" t="s">
        <v>62</v>
      </c>
      <c r="D17" s="1" t="s">
        <v>63</v>
      </c>
      <c r="E17" s="1" t="s">
        <v>64</v>
      </c>
      <c r="F17" s="50">
        <v>45658</v>
      </c>
      <c r="G17" s="50">
        <v>46022</v>
      </c>
      <c r="I17" s="49">
        <v>3200</v>
      </c>
      <c r="J17" s="49">
        <v>3200</v>
      </c>
      <c r="K17" s="49">
        <v>3200.0000000000005</v>
      </c>
      <c r="L17" s="49">
        <v>3200</v>
      </c>
      <c r="M17" s="49">
        <v>3200</v>
      </c>
      <c r="N17" s="49">
        <v>3200</v>
      </c>
      <c r="O17" s="49">
        <v>7040</v>
      </c>
      <c r="P17" s="49">
        <v>3200</v>
      </c>
      <c r="Q17" s="49">
        <v>3200</v>
      </c>
      <c r="R17" s="49">
        <v>3200</v>
      </c>
      <c r="S17" s="49">
        <v>3200</v>
      </c>
      <c r="T17" s="49">
        <v>6400</v>
      </c>
      <c r="U17" s="56">
        <f t="shared" si="0"/>
        <v>45440</v>
      </c>
    </row>
    <row r="18" spans="1:21" x14ac:dyDescent="0.3">
      <c r="A18" s="3" t="s">
        <v>17</v>
      </c>
      <c r="B18" s="1" t="s">
        <v>68</v>
      </c>
      <c r="C18" s="1" t="s">
        <v>69</v>
      </c>
      <c r="D18" s="1" t="s">
        <v>70</v>
      </c>
      <c r="E18" s="1" t="s">
        <v>71</v>
      </c>
      <c r="F18" s="50">
        <v>45658</v>
      </c>
      <c r="G18" s="50">
        <v>46022</v>
      </c>
      <c r="I18" s="51">
        <v>2500</v>
      </c>
      <c r="J18" s="51">
        <v>2500</v>
      </c>
      <c r="K18" s="51">
        <v>2500.0000000000005</v>
      </c>
      <c r="L18" s="51">
        <v>2500</v>
      </c>
      <c r="M18" s="51">
        <v>2500</v>
      </c>
      <c r="N18" s="51">
        <v>2500</v>
      </c>
      <c r="O18" s="51">
        <v>5000</v>
      </c>
      <c r="P18" s="51">
        <v>2500</v>
      </c>
      <c r="Q18" s="51">
        <v>2500</v>
      </c>
      <c r="R18" s="51">
        <v>2500</v>
      </c>
      <c r="S18" s="51">
        <v>2500</v>
      </c>
      <c r="T18" s="51">
        <v>3576.39</v>
      </c>
      <c r="U18" s="57">
        <f t="shared" si="0"/>
        <v>33576.39</v>
      </c>
    </row>
    <row r="19" spans="1:21" x14ac:dyDescent="0.3">
      <c r="I19" s="49">
        <f>SUM(I4:I18)</f>
        <v>66978</v>
      </c>
      <c r="J19" s="49">
        <f t="shared" ref="J19:T19" si="1">SUM(J4:J18)</f>
        <v>66978</v>
      </c>
      <c r="K19" s="49">
        <f t="shared" si="1"/>
        <v>66978</v>
      </c>
      <c r="L19" s="49">
        <f t="shared" si="1"/>
        <v>66978</v>
      </c>
      <c r="M19" s="49">
        <f t="shared" si="1"/>
        <v>66978</v>
      </c>
      <c r="N19" s="49">
        <f t="shared" si="1"/>
        <v>66978</v>
      </c>
      <c r="O19" s="49">
        <f t="shared" si="1"/>
        <v>134596</v>
      </c>
      <c r="P19" s="49">
        <f t="shared" si="1"/>
        <v>66978</v>
      </c>
      <c r="Q19" s="49">
        <f t="shared" si="1"/>
        <v>68238</v>
      </c>
      <c r="R19" s="49">
        <f t="shared" si="1"/>
        <v>66978</v>
      </c>
      <c r="S19" s="49">
        <f t="shared" si="1"/>
        <v>66978</v>
      </c>
      <c r="T19" s="49">
        <f t="shared" si="1"/>
        <v>146332.39000000001</v>
      </c>
      <c r="U19" s="56">
        <f t="shared" si="0"/>
        <v>951968.39</v>
      </c>
    </row>
  </sheetData>
  <mergeCells count="7">
    <mergeCell ref="F2:F3"/>
    <mergeCell ref="G2:G3"/>
    <mergeCell ref="A1:E1"/>
    <mergeCell ref="A2:B2"/>
    <mergeCell ref="C2:C3"/>
    <mergeCell ref="D2:D3"/>
    <mergeCell ref="E2:E3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00F2-99EE-4C6E-8301-D8C7F480B209}">
  <dimension ref="A2:EL27"/>
  <sheetViews>
    <sheetView topLeftCell="V1" workbookViewId="0">
      <selection activeCell="W23" sqref="W23"/>
    </sheetView>
  </sheetViews>
  <sheetFormatPr baseColWidth="10" defaultColWidth="10.44140625" defaultRowHeight="14.4" x14ac:dyDescent="0.3"/>
  <cols>
    <col min="1" max="16384" width="10.44140625" style="28"/>
  </cols>
  <sheetData>
    <row r="2" spans="1:142" x14ac:dyDescent="0.3">
      <c r="A2" s="26" t="s">
        <v>100</v>
      </c>
      <c r="B2" s="27">
        <v>20258342241</v>
      </c>
    </row>
    <row r="3" spans="1:142" x14ac:dyDescent="0.3">
      <c r="A3" s="150" t="s">
        <v>101</v>
      </c>
      <c r="B3" s="150"/>
    </row>
    <row r="5" spans="1:142" ht="57.6" x14ac:dyDescent="0.3">
      <c r="A5" s="29" t="s">
        <v>102</v>
      </c>
      <c r="B5" s="29" t="s">
        <v>103</v>
      </c>
      <c r="C5" s="29" t="s">
        <v>94</v>
      </c>
      <c r="D5" s="29" t="s">
        <v>104</v>
      </c>
      <c r="E5" s="29" t="s">
        <v>105</v>
      </c>
      <c r="F5" s="29" t="s">
        <v>106</v>
      </c>
      <c r="G5" s="29" t="s">
        <v>107</v>
      </c>
      <c r="H5" s="29" t="s">
        <v>108</v>
      </c>
      <c r="I5" s="29" t="s">
        <v>109</v>
      </c>
      <c r="J5" s="29" t="s">
        <v>110</v>
      </c>
      <c r="K5" s="29" t="s">
        <v>111</v>
      </c>
      <c r="L5" s="29" t="s">
        <v>112</v>
      </c>
      <c r="M5" s="29" t="s">
        <v>113</v>
      </c>
      <c r="N5" s="29" t="s">
        <v>114</v>
      </c>
      <c r="O5" s="29" t="s">
        <v>115</v>
      </c>
      <c r="P5" s="29" t="s">
        <v>116</v>
      </c>
      <c r="Q5" s="29" t="s">
        <v>117</v>
      </c>
      <c r="R5" s="29" t="s">
        <v>118</v>
      </c>
      <c r="S5" s="29" t="s">
        <v>119</v>
      </c>
      <c r="T5" s="29" t="s">
        <v>120</v>
      </c>
      <c r="U5" s="29" t="s">
        <v>121</v>
      </c>
      <c r="V5" s="29" t="s">
        <v>122</v>
      </c>
      <c r="W5" s="29" t="s">
        <v>123</v>
      </c>
      <c r="X5" s="29" t="s">
        <v>124</v>
      </c>
      <c r="Y5" s="29" t="s">
        <v>125</v>
      </c>
      <c r="Z5" s="29" t="s">
        <v>126</v>
      </c>
      <c r="AA5" s="29" t="s">
        <v>127</v>
      </c>
      <c r="AB5" s="29" t="s">
        <v>128</v>
      </c>
      <c r="AC5" s="29" t="s">
        <v>129</v>
      </c>
      <c r="AD5" s="29" t="s">
        <v>130</v>
      </c>
      <c r="AE5" s="29" t="s">
        <v>131</v>
      </c>
      <c r="AF5" s="29" t="s">
        <v>132</v>
      </c>
      <c r="AG5" s="29" t="s">
        <v>133</v>
      </c>
      <c r="AH5" s="29" t="s">
        <v>134</v>
      </c>
      <c r="AI5" s="29" t="s">
        <v>135</v>
      </c>
      <c r="AJ5" s="29" t="s">
        <v>136</v>
      </c>
      <c r="AK5" s="29" t="s">
        <v>137</v>
      </c>
      <c r="AL5" s="29" t="s">
        <v>138</v>
      </c>
      <c r="AM5" s="29" t="s">
        <v>139</v>
      </c>
      <c r="AN5" s="29" t="s">
        <v>140</v>
      </c>
      <c r="AO5" s="29" t="s">
        <v>141</v>
      </c>
      <c r="AP5" s="29" t="s">
        <v>142</v>
      </c>
      <c r="AQ5" s="29" t="s">
        <v>143</v>
      </c>
      <c r="AR5" s="29" t="s">
        <v>144</v>
      </c>
      <c r="AS5" s="30" t="s">
        <v>145</v>
      </c>
      <c r="AT5" s="31"/>
      <c r="AU5" s="31"/>
      <c r="AV5" s="32" t="s">
        <v>146</v>
      </c>
      <c r="AW5" s="32" t="s">
        <v>147</v>
      </c>
      <c r="AX5" s="32" t="s">
        <v>148</v>
      </c>
    </row>
    <row r="6" spans="1:142" s="34" customFormat="1" x14ac:dyDescent="0.3">
      <c r="A6" s="16" t="s">
        <v>149</v>
      </c>
      <c r="B6" s="16" t="s">
        <v>77</v>
      </c>
      <c r="C6" s="16" t="s">
        <v>51</v>
      </c>
      <c r="D6" s="18">
        <v>42278</v>
      </c>
      <c r="E6" s="18"/>
      <c r="F6" s="16" t="s">
        <v>150</v>
      </c>
      <c r="G6" s="16" t="s">
        <v>151</v>
      </c>
      <c r="H6" s="16" t="s">
        <v>151</v>
      </c>
      <c r="I6" s="16" t="s">
        <v>152</v>
      </c>
      <c r="J6" s="16" t="s">
        <v>152</v>
      </c>
      <c r="K6" s="16" t="s">
        <v>153</v>
      </c>
      <c r="L6" s="16" t="s">
        <v>154</v>
      </c>
      <c r="M6" s="16" t="s">
        <v>155</v>
      </c>
      <c r="N6" s="33" t="s">
        <v>156</v>
      </c>
      <c r="O6" s="33" t="s">
        <v>157</v>
      </c>
      <c r="P6" s="33" t="s">
        <v>158</v>
      </c>
      <c r="Q6" s="33">
        <v>2700</v>
      </c>
      <c r="R6" s="33">
        <v>30</v>
      </c>
      <c r="S6" s="33"/>
      <c r="T6" s="33"/>
      <c r="U6" s="33">
        <f>8*R6</f>
        <v>240</v>
      </c>
      <c r="V6" s="33">
        <f>+Q6</f>
        <v>2700</v>
      </c>
      <c r="W6" s="33"/>
      <c r="X6" s="33"/>
      <c r="Y6" s="33"/>
      <c r="Z6" s="33">
        <v>2700</v>
      </c>
      <c r="AA6" s="33">
        <v>182.25</v>
      </c>
      <c r="AB6" s="33">
        <v>250</v>
      </c>
      <c r="AE6" s="33">
        <f>+SUM(V6:AD6)</f>
        <v>5832.25</v>
      </c>
      <c r="AF6" s="35">
        <v>270</v>
      </c>
      <c r="AG6" s="35">
        <v>45.63</v>
      </c>
      <c r="AH6" s="35">
        <v>36.99</v>
      </c>
      <c r="AI6" s="33"/>
      <c r="AJ6" s="33">
        <v>24.760000000000161</v>
      </c>
      <c r="AK6" s="33">
        <v>69.14</v>
      </c>
      <c r="AL6" s="33">
        <v>1350</v>
      </c>
      <c r="AM6" s="33"/>
      <c r="AN6" s="33"/>
      <c r="AO6" s="33">
        <f t="shared" ref="AO6:AO19" si="0">+Z6+AA6</f>
        <v>2882.25</v>
      </c>
      <c r="AP6" s="33">
        <f>+AB6</f>
        <v>250</v>
      </c>
      <c r="AQ6" s="33">
        <f>+AC6</f>
        <v>0</v>
      </c>
      <c r="AR6" s="33">
        <f t="shared" ref="AR6:AR19" si="1">+SUM(AF6:AQ6)</f>
        <v>4928.7700000000004</v>
      </c>
      <c r="AS6" s="33">
        <f t="shared" ref="AS6:AS19" si="2">+AE6-AR6</f>
        <v>903.47999999999956</v>
      </c>
      <c r="AT6" s="36"/>
      <c r="AU6" s="36"/>
      <c r="AV6" s="35">
        <v>182.25</v>
      </c>
      <c r="AW6" s="35">
        <v>60.75</v>
      </c>
      <c r="AX6" s="35">
        <v>243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</row>
    <row r="7" spans="1:142" s="34" customFormat="1" x14ac:dyDescent="0.3">
      <c r="A7" s="16" t="s">
        <v>159</v>
      </c>
      <c r="B7" s="16" t="s">
        <v>78</v>
      </c>
      <c r="C7" s="16" t="s">
        <v>61</v>
      </c>
      <c r="D7" s="18">
        <v>42297</v>
      </c>
      <c r="E7" s="18"/>
      <c r="F7" s="16" t="s">
        <v>150</v>
      </c>
      <c r="G7" s="16" t="s">
        <v>151</v>
      </c>
      <c r="H7" s="16" t="s">
        <v>151</v>
      </c>
      <c r="I7" s="16" t="s">
        <v>152</v>
      </c>
      <c r="J7" s="16" t="s">
        <v>152</v>
      </c>
      <c r="K7" s="16" t="s">
        <v>160</v>
      </c>
      <c r="L7" s="16" t="s">
        <v>154</v>
      </c>
      <c r="M7" s="16" t="s">
        <v>155</v>
      </c>
      <c r="N7" s="33" t="s">
        <v>161</v>
      </c>
      <c r="O7" s="33" t="s">
        <v>162</v>
      </c>
      <c r="P7" s="33" t="s">
        <v>158</v>
      </c>
      <c r="Q7" s="33">
        <v>3200</v>
      </c>
      <c r="R7" s="33">
        <v>30</v>
      </c>
      <c r="S7" s="33"/>
      <c r="T7" s="33"/>
      <c r="U7" s="33">
        <f t="shared" ref="U7:U19" si="3">8*R7</f>
        <v>240</v>
      </c>
      <c r="V7" s="33">
        <f t="shared" ref="V7:V19" si="4">+Q7</f>
        <v>3200</v>
      </c>
      <c r="W7" s="33"/>
      <c r="X7" s="33"/>
      <c r="Y7" s="33"/>
      <c r="Z7" s="33">
        <v>3200</v>
      </c>
      <c r="AA7" s="33">
        <v>216</v>
      </c>
      <c r="AB7" s="33">
        <v>250</v>
      </c>
      <c r="AE7" s="33">
        <f t="shared" ref="AE7:AE19" si="5">+SUM(V7:AD7)</f>
        <v>6866</v>
      </c>
      <c r="AF7" s="35">
        <v>320</v>
      </c>
      <c r="AG7" s="35">
        <v>51.2</v>
      </c>
      <c r="AH7" s="35">
        <v>43.84</v>
      </c>
      <c r="AI7" s="33"/>
      <c r="AJ7" s="33">
        <v>71.869999999999891</v>
      </c>
      <c r="AK7" s="33">
        <v>69.14</v>
      </c>
      <c r="AL7" s="33">
        <v>1600</v>
      </c>
      <c r="AM7" s="33"/>
      <c r="AN7" s="33"/>
      <c r="AO7" s="33">
        <f t="shared" si="0"/>
        <v>3416</v>
      </c>
      <c r="AP7" s="33">
        <f t="shared" ref="AP7:AQ19" si="6">+AB7</f>
        <v>250</v>
      </c>
      <c r="AQ7" s="33">
        <f t="shared" si="6"/>
        <v>0</v>
      </c>
      <c r="AR7" s="33">
        <f t="shared" si="1"/>
        <v>5822.0499999999993</v>
      </c>
      <c r="AS7" s="33">
        <f t="shared" si="2"/>
        <v>1043.9500000000007</v>
      </c>
      <c r="AT7" s="36"/>
      <c r="AU7" s="36"/>
      <c r="AV7" s="35">
        <v>216</v>
      </c>
      <c r="AW7" s="35">
        <v>72</v>
      </c>
      <c r="AX7" s="35">
        <v>288</v>
      </c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</row>
    <row r="8" spans="1:142" s="34" customFormat="1" x14ac:dyDescent="0.3">
      <c r="A8" s="16" t="s">
        <v>163</v>
      </c>
      <c r="B8" s="16" t="s">
        <v>79</v>
      </c>
      <c r="C8" s="16" t="s">
        <v>47</v>
      </c>
      <c r="D8" s="18">
        <v>40634</v>
      </c>
      <c r="E8" s="18"/>
      <c r="F8" s="16" t="s">
        <v>150</v>
      </c>
      <c r="G8" s="16" t="s">
        <v>151</v>
      </c>
      <c r="H8" s="16" t="s">
        <v>151</v>
      </c>
      <c r="I8" s="16" t="s">
        <v>152</v>
      </c>
      <c r="J8" s="16" t="s">
        <v>152</v>
      </c>
      <c r="K8" s="16" t="s">
        <v>164</v>
      </c>
      <c r="L8" s="16" t="s">
        <v>154</v>
      </c>
      <c r="M8" s="16" t="s">
        <v>155</v>
      </c>
      <c r="N8" s="33" t="s">
        <v>165</v>
      </c>
      <c r="O8" s="33" t="s">
        <v>166</v>
      </c>
      <c r="P8" s="33" t="s">
        <v>158</v>
      </c>
      <c r="Q8" s="33">
        <v>3800</v>
      </c>
      <c r="R8" s="33">
        <v>30</v>
      </c>
      <c r="S8" s="33"/>
      <c r="T8" s="33"/>
      <c r="U8" s="33">
        <f t="shared" si="3"/>
        <v>240</v>
      </c>
      <c r="V8" s="33">
        <f t="shared" si="4"/>
        <v>3800</v>
      </c>
      <c r="W8" s="33"/>
      <c r="X8" s="33"/>
      <c r="Y8" s="33"/>
      <c r="Z8" s="33">
        <v>3800</v>
      </c>
      <c r="AA8" s="33">
        <v>256.5</v>
      </c>
      <c r="AB8" s="33">
        <v>250</v>
      </c>
      <c r="AC8" s="37">
        <v>2500</v>
      </c>
      <c r="AD8" s="37"/>
      <c r="AE8" s="33">
        <f t="shared" si="5"/>
        <v>10606.5</v>
      </c>
      <c r="AF8" s="35">
        <v>630</v>
      </c>
      <c r="AG8" s="35">
        <v>97.65</v>
      </c>
      <c r="AH8" s="35">
        <v>86.31</v>
      </c>
      <c r="AI8" s="33"/>
      <c r="AJ8" s="33">
        <v>328.41999999999985</v>
      </c>
      <c r="AK8" s="33">
        <v>69.14</v>
      </c>
      <c r="AL8" s="33">
        <v>1900</v>
      </c>
      <c r="AM8" s="33"/>
      <c r="AN8" s="33"/>
      <c r="AO8" s="33">
        <f t="shared" si="0"/>
        <v>4056.5</v>
      </c>
      <c r="AP8" s="33">
        <f t="shared" si="6"/>
        <v>250</v>
      </c>
      <c r="AQ8" s="33">
        <f t="shared" si="6"/>
        <v>2500</v>
      </c>
      <c r="AR8" s="33">
        <f t="shared" si="1"/>
        <v>9918.02</v>
      </c>
      <c r="AS8" s="33">
        <f t="shared" si="2"/>
        <v>688.47999999999956</v>
      </c>
      <c r="AT8" s="36"/>
      <c r="AU8" s="36"/>
      <c r="AV8" s="35">
        <v>425.25</v>
      </c>
      <c r="AW8" s="35">
        <v>141.75</v>
      </c>
      <c r="AX8" s="35">
        <v>567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</row>
    <row r="9" spans="1:142" s="34" customFormat="1" x14ac:dyDescent="0.3">
      <c r="A9" s="16" t="s">
        <v>167</v>
      </c>
      <c r="B9" s="16" t="s">
        <v>80</v>
      </c>
      <c r="C9" s="16" t="s">
        <v>58</v>
      </c>
      <c r="D9" s="18">
        <v>40817</v>
      </c>
      <c r="E9" s="18"/>
      <c r="F9" s="16" t="s">
        <v>150</v>
      </c>
      <c r="G9" s="16" t="s">
        <v>151</v>
      </c>
      <c r="H9" s="16" t="s">
        <v>151</v>
      </c>
      <c r="I9" s="16" t="s">
        <v>168</v>
      </c>
      <c r="J9" s="16" t="s">
        <v>168</v>
      </c>
      <c r="K9" s="16" t="s">
        <v>169</v>
      </c>
      <c r="L9" s="16" t="s">
        <v>154</v>
      </c>
      <c r="M9" s="16" t="s">
        <v>155</v>
      </c>
      <c r="N9" s="33" t="s">
        <v>170</v>
      </c>
      <c r="O9" s="33" t="s">
        <v>166</v>
      </c>
      <c r="P9" s="33" t="s">
        <v>158</v>
      </c>
      <c r="Q9" s="33">
        <v>3800</v>
      </c>
      <c r="R9" s="33">
        <v>30</v>
      </c>
      <c r="S9" s="33"/>
      <c r="T9" s="33"/>
      <c r="U9" s="33">
        <f t="shared" si="3"/>
        <v>240</v>
      </c>
      <c r="V9" s="33">
        <f t="shared" si="4"/>
        <v>3800</v>
      </c>
      <c r="W9" s="33"/>
      <c r="X9" s="33">
        <v>113</v>
      </c>
      <c r="Y9" s="33"/>
      <c r="Z9" s="33">
        <v>3913</v>
      </c>
      <c r="AA9" s="33">
        <v>352.17</v>
      </c>
      <c r="AB9" s="33">
        <v>250</v>
      </c>
      <c r="AC9" s="37">
        <v>3000</v>
      </c>
      <c r="AD9" s="37"/>
      <c r="AE9" s="33">
        <f t="shared" si="5"/>
        <v>11428.17</v>
      </c>
      <c r="AF9" s="35">
        <v>691.3</v>
      </c>
      <c r="AG9" s="35">
        <v>107.15</v>
      </c>
      <c r="AH9" s="35">
        <v>94.71</v>
      </c>
      <c r="AI9" s="33"/>
      <c r="AJ9" s="33">
        <v>380.24</v>
      </c>
      <c r="AK9" s="33"/>
      <c r="AL9" s="33">
        <v>1956.5</v>
      </c>
      <c r="AM9" s="33"/>
      <c r="AN9" s="33"/>
      <c r="AO9" s="33">
        <f t="shared" si="0"/>
        <v>4265.17</v>
      </c>
      <c r="AP9" s="33">
        <f t="shared" si="6"/>
        <v>250</v>
      </c>
      <c r="AQ9" s="33">
        <f t="shared" si="6"/>
        <v>3000</v>
      </c>
      <c r="AR9" s="33">
        <f t="shared" si="1"/>
        <v>10745.07</v>
      </c>
      <c r="AS9" s="33">
        <f t="shared" si="2"/>
        <v>683.10000000000036</v>
      </c>
      <c r="AT9" s="36"/>
      <c r="AU9" s="36"/>
      <c r="AV9" s="35">
        <v>622.16999999999996</v>
      </c>
      <c r="AW9" s="35"/>
      <c r="AX9" s="35">
        <v>622.16999999999996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</row>
    <row r="10" spans="1:142" s="34" customFormat="1" x14ac:dyDescent="0.3">
      <c r="A10" s="16" t="s">
        <v>171</v>
      </c>
      <c r="B10" s="16" t="s">
        <v>81</v>
      </c>
      <c r="C10" s="16" t="s">
        <v>27</v>
      </c>
      <c r="D10" s="18">
        <v>40180</v>
      </c>
      <c r="E10" s="18"/>
      <c r="F10" s="16" t="s">
        <v>150</v>
      </c>
      <c r="G10" s="16" t="s">
        <v>151</v>
      </c>
      <c r="H10" s="16" t="s">
        <v>151</v>
      </c>
      <c r="I10" s="16" t="s">
        <v>152</v>
      </c>
      <c r="J10" s="16" t="s">
        <v>152</v>
      </c>
      <c r="K10" s="16" t="s">
        <v>172</v>
      </c>
      <c r="L10" s="16" t="s">
        <v>154</v>
      </c>
      <c r="M10" s="16" t="s">
        <v>155</v>
      </c>
      <c r="N10" s="33" t="s">
        <v>173</v>
      </c>
      <c r="O10" s="33" t="s">
        <v>162</v>
      </c>
      <c r="P10" s="33" t="s">
        <v>158</v>
      </c>
      <c r="Q10" s="33">
        <v>3800</v>
      </c>
      <c r="R10" s="33">
        <v>28</v>
      </c>
      <c r="S10" s="33">
        <v>2</v>
      </c>
      <c r="T10" s="33"/>
      <c r="U10" s="33">
        <f t="shared" si="3"/>
        <v>224</v>
      </c>
      <c r="V10" s="33">
        <v>3546.6666666666665</v>
      </c>
      <c r="W10" s="33"/>
      <c r="X10" s="33">
        <v>113</v>
      </c>
      <c r="Y10" s="33">
        <f>+Q10/30*2</f>
        <v>253.33333333333334</v>
      </c>
      <c r="Z10" s="33">
        <v>3913</v>
      </c>
      <c r="AA10" s="33">
        <v>352.17</v>
      </c>
      <c r="AB10" s="33">
        <v>250</v>
      </c>
      <c r="AC10" s="38">
        <v>1800</v>
      </c>
      <c r="AD10" s="37"/>
      <c r="AE10" s="33">
        <f t="shared" si="5"/>
        <v>10228.17</v>
      </c>
      <c r="AF10" s="39">
        <f>+(V10+X10+Y10+AC10)*0.1</f>
        <v>571.30000000000007</v>
      </c>
      <c r="AG10" s="39">
        <f>+(V10+X10+Y10+AC10)*1.6%</f>
        <v>91.408000000000001</v>
      </c>
      <c r="AH10" s="39">
        <f>+(V10+X10+Y10+AC10)*1.37%</f>
        <v>78.268100000000004</v>
      </c>
      <c r="AI10" s="33"/>
      <c r="AJ10" s="33">
        <v>284.24</v>
      </c>
      <c r="AK10" s="33"/>
      <c r="AL10" s="33">
        <v>1956.5</v>
      </c>
      <c r="AM10" s="33"/>
      <c r="AN10" s="33"/>
      <c r="AO10" s="33">
        <f t="shared" si="0"/>
        <v>4265.17</v>
      </c>
      <c r="AP10" s="33">
        <f t="shared" si="6"/>
        <v>250</v>
      </c>
      <c r="AQ10" s="33">
        <f t="shared" si="6"/>
        <v>1800</v>
      </c>
      <c r="AR10" s="33">
        <f t="shared" si="1"/>
        <v>9296.8860999999997</v>
      </c>
      <c r="AS10" s="33">
        <f t="shared" si="2"/>
        <v>931.28390000000036</v>
      </c>
      <c r="AT10" s="36"/>
      <c r="AU10" s="36"/>
      <c r="AV10" s="40">
        <v>514.16999999999996</v>
      </c>
      <c r="AW10" s="35"/>
      <c r="AX10" s="40">
        <v>514.16999999999996</v>
      </c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</row>
    <row r="11" spans="1:142" s="34" customFormat="1" x14ac:dyDescent="0.3">
      <c r="A11" s="16" t="s">
        <v>174</v>
      </c>
      <c r="B11" s="16" t="s">
        <v>82</v>
      </c>
      <c r="C11" s="16" t="s">
        <v>72</v>
      </c>
      <c r="D11" s="18">
        <v>42767</v>
      </c>
      <c r="E11" s="18"/>
      <c r="F11" s="16" t="s">
        <v>150</v>
      </c>
      <c r="G11" s="16" t="s">
        <v>151</v>
      </c>
      <c r="H11" s="16" t="s">
        <v>151</v>
      </c>
      <c r="I11" s="16" t="s">
        <v>152</v>
      </c>
      <c r="J11" s="16" t="s">
        <v>152</v>
      </c>
      <c r="K11" s="16" t="s">
        <v>175</v>
      </c>
      <c r="L11" s="16" t="s">
        <v>154</v>
      </c>
      <c r="M11" s="16" t="s">
        <v>155</v>
      </c>
      <c r="N11" s="33" t="s">
        <v>156</v>
      </c>
      <c r="O11" s="33" t="s">
        <v>176</v>
      </c>
      <c r="P11" s="33" t="s">
        <v>177</v>
      </c>
      <c r="Q11" s="33">
        <v>2500</v>
      </c>
      <c r="R11" s="33">
        <v>30</v>
      </c>
      <c r="S11" s="33"/>
      <c r="T11" s="33"/>
      <c r="U11" s="33">
        <f t="shared" si="3"/>
        <v>240</v>
      </c>
      <c r="V11" s="33">
        <f t="shared" si="4"/>
        <v>2500</v>
      </c>
      <c r="W11" s="33"/>
      <c r="X11" s="33"/>
      <c r="Y11" s="33"/>
      <c r="Z11" s="33">
        <v>2500</v>
      </c>
      <c r="AA11" s="33">
        <v>168.75</v>
      </c>
      <c r="AB11" s="33">
        <v>250</v>
      </c>
      <c r="AC11" s="37">
        <v>1500</v>
      </c>
      <c r="AD11" s="37">
        <v>29</v>
      </c>
      <c r="AE11" s="33">
        <f t="shared" si="5"/>
        <v>6947.75</v>
      </c>
      <c r="AF11" s="35">
        <v>400</v>
      </c>
      <c r="AG11" s="35"/>
      <c r="AH11" s="35">
        <v>54.8</v>
      </c>
      <c r="AI11" s="33"/>
      <c r="AJ11" s="33"/>
      <c r="AK11" s="33">
        <v>69.14</v>
      </c>
      <c r="AL11" s="33">
        <v>1250</v>
      </c>
      <c r="AM11" s="33"/>
      <c r="AN11" s="33"/>
      <c r="AO11" s="33">
        <f t="shared" si="0"/>
        <v>2668.75</v>
      </c>
      <c r="AP11" s="33">
        <f t="shared" si="6"/>
        <v>250</v>
      </c>
      <c r="AQ11" s="33">
        <f t="shared" si="6"/>
        <v>1500</v>
      </c>
      <c r="AR11" s="33">
        <f t="shared" si="1"/>
        <v>6192.6900000000005</v>
      </c>
      <c r="AS11" s="33">
        <f t="shared" si="2"/>
        <v>755.05999999999949</v>
      </c>
      <c r="AT11" s="36"/>
      <c r="AU11" s="36"/>
      <c r="AV11" s="35">
        <v>270</v>
      </c>
      <c r="AW11" s="35">
        <v>90</v>
      </c>
      <c r="AX11" s="35">
        <v>360</v>
      </c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</row>
    <row r="12" spans="1:142" s="34" customFormat="1" x14ac:dyDescent="0.3">
      <c r="A12" s="16" t="s">
        <v>178</v>
      </c>
      <c r="B12" s="16" t="s">
        <v>83</v>
      </c>
      <c r="C12" s="16" t="s">
        <v>24</v>
      </c>
      <c r="D12" s="18">
        <v>37803</v>
      </c>
      <c r="E12" s="18"/>
      <c r="F12" s="16" t="s">
        <v>150</v>
      </c>
      <c r="G12" s="16" t="s">
        <v>151</v>
      </c>
      <c r="H12" s="16" t="s">
        <v>151</v>
      </c>
      <c r="I12" s="16" t="s">
        <v>152</v>
      </c>
      <c r="J12" s="16" t="s">
        <v>152</v>
      </c>
      <c r="K12" s="16" t="s">
        <v>179</v>
      </c>
      <c r="L12" s="16" t="s">
        <v>154</v>
      </c>
      <c r="M12" s="16" t="s">
        <v>155</v>
      </c>
      <c r="N12" s="33" t="s">
        <v>180</v>
      </c>
      <c r="O12" s="33" t="s">
        <v>166</v>
      </c>
      <c r="P12" s="33" t="s">
        <v>158</v>
      </c>
      <c r="Q12" s="33">
        <v>15000</v>
      </c>
      <c r="R12" s="33">
        <v>30</v>
      </c>
      <c r="S12" s="33"/>
      <c r="T12" s="33"/>
      <c r="U12" s="33">
        <f t="shared" si="3"/>
        <v>240</v>
      </c>
      <c r="V12" s="33">
        <f t="shared" si="4"/>
        <v>15000</v>
      </c>
      <c r="W12" s="33"/>
      <c r="X12" s="33"/>
      <c r="Y12" s="33"/>
      <c r="Z12" s="33">
        <v>15000</v>
      </c>
      <c r="AA12" s="33">
        <v>1012.5</v>
      </c>
      <c r="AB12" s="33">
        <v>250</v>
      </c>
      <c r="AC12" s="37"/>
      <c r="AD12" s="37"/>
      <c r="AE12" s="33">
        <f t="shared" si="5"/>
        <v>31262.5</v>
      </c>
      <c r="AF12" s="35">
        <v>1500</v>
      </c>
      <c r="AG12" s="35">
        <v>232.5</v>
      </c>
      <c r="AH12" s="35">
        <v>166.85</v>
      </c>
      <c r="AI12" s="33"/>
      <c r="AJ12" s="33">
        <v>2114.5200000000041</v>
      </c>
      <c r="AK12" s="33">
        <v>227.93</v>
      </c>
      <c r="AL12" s="33">
        <v>7500</v>
      </c>
      <c r="AM12" s="33"/>
      <c r="AN12" s="33"/>
      <c r="AO12" s="33">
        <f t="shared" si="0"/>
        <v>16012.5</v>
      </c>
      <c r="AP12" s="33">
        <f t="shared" si="6"/>
        <v>250</v>
      </c>
      <c r="AQ12" s="33">
        <f t="shared" si="6"/>
        <v>0</v>
      </c>
      <c r="AR12" s="33">
        <f t="shared" si="1"/>
        <v>28004.300000000003</v>
      </c>
      <c r="AS12" s="33">
        <f t="shared" si="2"/>
        <v>3258.1999999999971</v>
      </c>
      <c r="AT12" s="36"/>
      <c r="AU12" s="36"/>
      <c r="AV12" s="35">
        <v>1012.5</v>
      </c>
      <c r="AW12" s="35">
        <v>337.5</v>
      </c>
      <c r="AX12" s="35">
        <v>1350</v>
      </c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</row>
    <row r="13" spans="1:142" s="34" customFormat="1" x14ac:dyDescent="0.3">
      <c r="A13" s="16" t="s">
        <v>181</v>
      </c>
      <c r="B13" s="16" t="s">
        <v>84</v>
      </c>
      <c r="C13" s="16" t="s">
        <v>33</v>
      </c>
      <c r="D13" s="18">
        <v>42296</v>
      </c>
      <c r="E13" s="18"/>
      <c r="F13" s="16" t="s">
        <v>150</v>
      </c>
      <c r="G13" s="16" t="s">
        <v>151</v>
      </c>
      <c r="H13" s="16" t="s">
        <v>151</v>
      </c>
      <c r="I13" s="16" t="s">
        <v>152</v>
      </c>
      <c r="J13" s="16" t="s">
        <v>152</v>
      </c>
      <c r="K13" s="16" t="s">
        <v>182</v>
      </c>
      <c r="L13" s="16" t="s">
        <v>154</v>
      </c>
      <c r="M13" s="16" t="s">
        <v>155</v>
      </c>
      <c r="N13" s="33" t="s">
        <v>183</v>
      </c>
      <c r="O13" s="33" t="s">
        <v>176</v>
      </c>
      <c r="P13" s="33" t="s">
        <v>158</v>
      </c>
      <c r="Q13" s="33">
        <v>10000</v>
      </c>
      <c r="R13" s="33">
        <v>30</v>
      </c>
      <c r="S13" s="33"/>
      <c r="T13" s="33"/>
      <c r="U13" s="33">
        <f t="shared" si="3"/>
        <v>240</v>
      </c>
      <c r="V13" s="33">
        <f t="shared" si="4"/>
        <v>10000</v>
      </c>
      <c r="W13" s="33"/>
      <c r="X13" s="33">
        <v>113</v>
      </c>
      <c r="Y13" s="33"/>
      <c r="Z13" s="33">
        <v>10113</v>
      </c>
      <c r="AA13" s="33">
        <v>910.17</v>
      </c>
      <c r="AB13" s="33">
        <v>250</v>
      </c>
      <c r="AC13" s="37"/>
      <c r="AD13" s="37"/>
      <c r="AE13" s="33">
        <f t="shared" si="5"/>
        <v>21386.17</v>
      </c>
      <c r="AF13" s="35">
        <v>1011.3</v>
      </c>
      <c r="AG13" s="35">
        <v>148.66</v>
      </c>
      <c r="AH13" s="35">
        <v>138.55000000000001</v>
      </c>
      <c r="AI13" s="33"/>
      <c r="AJ13" s="33">
        <v>1141.3600000000042</v>
      </c>
      <c r="AK13" s="33"/>
      <c r="AL13" s="33">
        <v>5056.5</v>
      </c>
      <c r="AM13" s="33"/>
      <c r="AN13" s="33"/>
      <c r="AO13" s="33">
        <f t="shared" si="0"/>
        <v>11023.17</v>
      </c>
      <c r="AP13" s="33">
        <f t="shared" si="6"/>
        <v>250</v>
      </c>
      <c r="AQ13" s="33">
        <f t="shared" si="6"/>
        <v>0</v>
      </c>
      <c r="AR13" s="33">
        <f t="shared" si="1"/>
        <v>18769.540000000005</v>
      </c>
      <c r="AS13" s="33">
        <f t="shared" si="2"/>
        <v>2616.6299999999937</v>
      </c>
      <c r="AT13" s="36"/>
      <c r="AU13" s="36"/>
      <c r="AV13" s="35">
        <v>910.17</v>
      </c>
      <c r="AW13" s="35"/>
      <c r="AX13" s="35">
        <v>910.17</v>
      </c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</row>
    <row r="14" spans="1:142" s="34" customFormat="1" x14ac:dyDescent="0.3">
      <c r="A14" s="16" t="s">
        <v>184</v>
      </c>
      <c r="B14" s="16" t="s">
        <v>85</v>
      </c>
      <c r="C14" s="16" t="s">
        <v>18</v>
      </c>
      <c r="D14" s="18">
        <v>35933</v>
      </c>
      <c r="E14" s="18"/>
      <c r="F14" s="16" t="s">
        <v>150</v>
      </c>
      <c r="G14" s="16" t="s">
        <v>151</v>
      </c>
      <c r="H14" s="16" t="s">
        <v>151</v>
      </c>
      <c r="I14" s="16" t="s">
        <v>152</v>
      </c>
      <c r="J14" s="16" t="s">
        <v>152</v>
      </c>
      <c r="K14" s="16" t="s">
        <v>185</v>
      </c>
      <c r="L14" s="16" t="s">
        <v>154</v>
      </c>
      <c r="M14" s="16" t="s">
        <v>155</v>
      </c>
      <c r="N14" s="33" t="s">
        <v>186</v>
      </c>
      <c r="O14" s="33" t="s">
        <v>166</v>
      </c>
      <c r="P14" s="33" t="s">
        <v>158</v>
      </c>
      <c r="Q14" s="33">
        <v>3800</v>
      </c>
      <c r="R14" s="33">
        <v>30</v>
      </c>
      <c r="S14" s="33"/>
      <c r="T14" s="33"/>
      <c r="U14" s="33">
        <f t="shared" si="3"/>
        <v>240</v>
      </c>
      <c r="V14" s="33">
        <f t="shared" si="4"/>
        <v>3800</v>
      </c>
      <c r="W14" s="33"/>
      <c r="X14" s="33"/>
      <c r="Y14" s="33"/>
      <c r="Z14" s="33">
        <v>3800</v>
      </c>
      <c r="AA14" s="33">
        <v>256.5</v>
      </c>
      <c r="AB14" s="33">
        <v>250</v>
      </c>
      <c r="AC14" s="37"/>
      <c r="AD14" s="37"/>
      <c r="AE14" s="33">
        <f t="shared" si="5"/>
        <v>8106.5</v>
      </c>
      <c r="AF14" s="35">
        <v>380</v>
      </c>
      <c r="AG14" s="35">
        <v>58.9</v>
      </c>
      <c r="AH14" s="35"/>
      <c r="AI14" s="33"/>
      <c r="AJ14" s="33">
        <v>128.41999999999985</v>
      </c>
      <c r="AK14" s="33">
        <v>227.93</v>
      </c>
      <c r="AL14" s="33">
        <v>1900</v>
      </c>
      <c r="AM14" s="33"/>
      <c r="AN14" s="33"/>
      <c r="AO14" s="33">
        <f t="shared" si="0"/>
        <v>4056.5</v>
      </c>
      <c r="AP14" s="33">
        <f t="shared" si="6"/>
        <v>250</v>
      </c>
      <c r="AQ14" s="33">
        <f t="shared" si="6"/>
        <v>0</v>
      </c>
      <c r="AR14" s="33">
        <f t="shared" si="1"/>
        <v>7001.75</v>
      </c>
      <c r="AS14" s="33">
        <f t="shared" si="2"/>
        <v>1104.75</v>
      </c>
      <c r="AT14" s="36"/>
      <c r="AU14" s="36"/>
      <c r="AV14" s="35">
        <v>256.5</v>
      </c>
      <c r="AW14" s="35">
        <v>85.5</v>
      </c>
      <c r="AX14" s="35">
        <v>342</v>
      </c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</row>
    <row r="15" spans="1:142" s="34" customFormat="1" x14ac:dyDescent="0.3">
      <c r="A15" s="16" t="s">
        <v>187</v>
      </c>
      <c r="B15" s="16" t="s">
        <v>86</v>
      </c>
      <c r="C15" s="16" t="s">
        <v>35</v>
      </c>
      <c r="D15" s="18">
        <v>41518</v>
      </c>
      <c r="E15" s="18"/>
      <c r="F15" s="16" t="s">
        <v>150</v>
      </c>
      <c r="G15" s="16" t="s">
        <v>151</v>
      </c>
      <c r="H15" s="16" t="s">
        <v>151</v>
      </c>
      <c r="I15" s="16" t="s">
        <v>152</v>
      </c>
      <c r="J15" s="16" t="s">
        <v>152</v>
      </c>
      <c r="K15" s="16" t="s">
        <v>188</v>
      </c>
      <c r="L15" s="16" t="s">
        <v>154</v>
      </c>
      <c r="M15" s="16" t="s">
        <v>155</v>
      </c>
      <c r="N15" s="33" t="s">
        <v>156</v>
      </c>
      <c r="O15" s="33" t="s">
        <v>166</v>
      </c>
      <c r="P15" s="33" t="s">
        <v>158</v>
      </c>
      <c r="Q15" s="33">
        <v>2700</v>
      </c>
      <c r="R15" s="33">
        <v>23</v>
      </c>
      <c r="S15" s="33"/>
      <c r="T15" s="33">
        <v>7</v>
      </c>
      <c r="U15" s="33">
        <f t="shared" si="3"/>
        <v>184</v>
      </c>
      <c r="V15" s="33">
        <f>+Q15/30*R15</f>
        <v>2070</v>
      </c>
      <c r="W15" s="33">
        <f>+(Q15+113)/30*T15</f>
        <v>656.36666666666667</v>
      </c>
      <c r="X15" s="33">
        <f>3.76666666666667*R15</f>
        <v>86.633333333333411</v>
      </c>
      <c r="Y15" s="33"/>
      <c r="Z15" s="33">
        <v>2813</v>
      </c>
      <c r="AA15" s="33">
        <v>253.17</v>
      </c>
      <c r="AB15" s="33">
        <v>250</v>
      </c>
      <c r="AC15" s="37">
        <v>1500</v>
      </c>
      <c r="AD15" s="37"/>
      <c r="AE15" s="33">
        <f t="shared" si="5"/>
        <v>7629.17</v>
      </c>
      <c r="AF15" s="35">
        <v>374.52</v>
      </c>
      <c r="AG15" s="35">
        <v>58.05</v>
      </c>
      <c r="AH15" s="35">
        <v>51.31</v>
      </c>
      <c r="AI15" s="33"/>
      <c r="AJ15" s="33">
        <v>156.25000000000006</v>
      </c>
      <c r="AK15" s="33"/>
      <c r="AL15" s="33">
        <v>843.9</v>
      </c>
      <c r="AM15" s="33">
        <v>567.77</v>
      </c>
      <c r="AN15" s="33"/>
      <c r="AO15" s="33">
        <f t="shared" si="0"/>
        <v>3066.17</v>
      </c>
      <c r="AP15" s="33">
        <f t="shared" si="6"/>
        <v>250</v>
      </c>
      <c r="AQ15" s="33">
        <f t="shared" si="6"/>
        <v>1500</v>
      </c>
      <c r="AR15" s="33">
        <f t="shared" si="1"/>
        <v>6867.97</v>
      </c>
      <c r="AS15" s="33">
        <f t="shared" si="2"/>
        <v>761.19999999999982</v>
      </c>
      <c r="AT15" s="36"/>
      <c r="AU15" s="36"/>
      <c r="AV15" s="35">
        <v>337.07</v>
      </c>
      <c r="AW15" s="35"/>
      <c r="AX15" s="35">
        <v>337.07</v>
      </c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</row>
    <row r="16" spans="1:142" s="34" customFormat="1" x14ac:dyDescent="0.3">
      <c r="A16" s="16" t="s">
        <v>189</v>
      </c>
      <c r="B16" s="16" t="s">
        <v>87</v>
      </c>
      <c r="C16" s="16" t="s">
        <v>43</v>
      </c>
      <c r="D16" s="18">
        <v>41334</v>
      </c>
      <c r="E16" s="18"/>
      <c r="F16" s="16" t="s">
        <v>150</v>
      </c>
      <c r="G16" s="16" t="s">
        <v>151</v>
      </c>
      <c r="H16" s="16" t="s">
        <v>151</v>
      </c>
      <c r="I16" s="16" t="s">
        <v>152</v>
      </c>
      <c r="J16" s="16" t="s">
        <v>152</v>
      </c>
      <c r="K16" s="16" t="s">
        <v>190</v>
      </c>
      <c r="L16" s="16" t="s">
        <v>154</v>
      </c>
      <c r="M16" s="16" t="s">
        <v>155</v>
      </c>
      <c r="N16" s="33" t="s">
        <v>156</v>
      </c>
      <c r="O16" s="33" t="s">
        <v>162</v>
      </c>
      <c r="P16" s="33" t="s">
        <v>177</v>
      </c>
      <c r="Q16" s="33">
        <v>2800</v>
      </c>
      <c r="R16" s="33">
        <v>30</v>
      </c>
      <c r="S16" s="33"/>
      <c r="T16" s="33"/>
      <c r="U16" s="33">
        <f t="shared" si="3"/>
        <v>240</v>
      </c>
      <c r="V16" s="33">
        <f t="shared" si="4"/>
        <v>2800</v>
      </c>
      <c r="W16" s="33"/>
      <c r="X16" s="33">
        <v>113</v>
      </c>
      <c r="Y16" s="33"/>
      <c r="Z16" s="33">
        <v>2913</v>
      </c>
      <c r="AA16" s="33">
        <v>262.17</v>
      </c>
      <c r="AB16" s="33">
        <v>250</v>
      </c>
      <c r="AC16" s="37"/>
      <c r="AD16" s="37"/>
      <c r="AE16" s="33">
        <f t="shared" si="5"/>
        <v>6338.17</v>
      </c>
      <c r="AF16" s="35">
        <v>291.3</v>
      </c>
      <c r="AG16" s="35"/>
      <c r="AH16" s="35">
        <v>39.909999999999997</v>
      </c>
      <c r="AI16" s="33"/>
      <c r="AJ16" s="33">
        <v>45.700000000000045</v>
      </c>
      <c r="AK16" s="33"/>
      <c r="AL16" s="33">
        <v>1456.5</v>
      </c>
      <c r="AM16" s="33"/>
      <c r="AN16" s="33"/>
      <c r="AO16" s="33">
        <f t="shared" si="0"/>
        <v>3175.17</v>
      </c>
      <c r="AP16" s="33">
        <f t="shared" si="6"/>
        <v>250</v>
      </c>
      <c r="AQ16" s="33">
        <f t="shared" si="6"/>
        <v>0</v>
      </c>
      <c r="AR16" s="33">
        <f t="shared" si="1"/>
        <v>5258.58</v>
      </c>
      <c r="AS16" s="33">
        <f t="shared" si="2"/>
        <v>1079.5900000000001</v>
      </c>
      <c r="AT16" s="36"/>
      <c r="AU16" s="36"/>
      <c r="AV16" s="35">
        <v>262.17</v>
      </c>
      <c r="AW16" s="35"/>
      <c r="AX16" s="35">
        <v>262.17</v>
      </c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</row>
    <row r="17" spans="1:142" s="34" customFormat="1" x14ac:dyDescent="0.3">
      <c r="A17" s="16" t="s">
        <v>191</v>
      </c>
      <c r="B17" s="16" t="s">
        <v>88</v>
      </c>
      <c r="C17" s="16" t="s">
        <v>55</v>
      </c>
      <c r="D17" s="18">
        <v>38504</v>
      </c>
      <c r="E17" s="18"/>
      <c r="F17" s="16" t="s">
        <v>150</v>
      </c>
      <c r="G17" s="16" t="s">
        <v>151</v>
      </c>
      <c r="H17" s="16" t="s">
        <v>151</v>
      </c>
      <c r="I17" s="16" t="s">
        <v>152</v>
      </c>
      <c r="J17" s="16" t="s">
        <v>152</v>
      </c>
      <c r="K17" s="16" t="s">
        <v>192</v>
      </c>
      <c r="L17" s="16" t="s">
        <v>154</v>
      </c>
      <c r="M17" s="16" t="s">
        <v>155</v>
      </c>
      <c r="N17" s="33" t="s">
        <v>173</v>
      </c>
      <c r="O17" s="33" t="s">
        <v>166</v>
      </c>
      <c r="P17" s="33" t="s">
        <v>177</v>
      </c>
      <c r="Q17" s="33">
        <v>3500</v>
      </c>
      <c r="R17" s="33">
        <v>30</v>
      </c>
      <c r="S17" s="33"/>
      <c r="T17" s="33"/>
      <c r="U17" s="33">
        <f t="shared" si="3"/>
        <v>240</v>
      </c>
      <c r="V17" s="33">
        <f t="shared" si="4"/>
        <v>3500</v>
      </c>
      <c r="W17" s="33"/>
      <c r="X17" s="33"/>
      <c r="Y17" s="33"/>
      <c r="Z17" s="33">
        <v>3500</v>
      </c>
      <c r="AA17" s="33">
        <v>236.25</v>
      </c>
      <c r="AB17" s="33">
        <v>250</v>
      </c>
      <c r="AC17" s="37"/>
      <c r="AD17" s="37"/>
      <c r="AE17" s="33">
        <f t="shared" si="5"/>
        <v>7486.25</v>
      </c>
      <c r="AF17" s="35">
        <v>350</v>
      </c>
      <c r="AG17" s="35"/>
      <c r="AH17" s="35">
        <v>47.95</v>
      </c>
      <c r="AI17" s="33"/>
      <c r="AJ17" s="33">
        <v>100.13999999999987</v>
      </c>
      <c r="AK17" s="33">
        <v>69.14</v>
      </c>
      <c r="AL17" s="33">
        <v>1750</v>
      </c>
      <c r="AM17" s="33"/>
      <c r="AN17" s="33"/>
      <c r="AO17" s="33">
        <f t="shared" si="0"/>
        <v>3736.25</v>
      </c>
      <c r="AP17" s="33">
        <f t="shared" si="6"/>
        <v>250</v>
      </c>
      <c r="AQ17" s="33">
        <f t="shared" si="6"/>
        <v>0</v>
      </c>
      <c r="AR17" s="33">
        <f t="shared" si="1"/>
        <v>6303.48</v>
      </c>
      <c r="AS17" s="33">
        <f t="shared" si="2"/>
        <v>1182.7700000000004</v>
      </c>
      <c r="AT17" s="36"/>
      <c r="AU17" s="36"/>
      <c r="AV17" s="35">
        <v>236.25</v>
      </c>
      <c r="AW17" s="35">
        <v>78.75</v>
      </c>
      <c r="AX17" s="35">
        <v>315</v>
      </c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</row>
    <row r="18" spans="1:142" s="34" customFormat="1" x14ac:dyDescent="0.3">
      <c r="A18" s="16" t="s">
        <v>193</v>
      </c>
      <c r="B18" s="16" t="s">
        <v>89</v>
      </c>
      <c r="C18" s="16" t="s">
        <v>65</v>
      </c>
      <c r="D18" s="18">
        <v>41928</v>
      </c>
      <c r="E18" s="18"/>
      <c r="F18" s="16" t="s">
        <v>150</v>
      </c>
      <c r="G18" s="16" t="s">
        <v>151</v>
      </c>
      <c r="H18" s="16" t="s">
        <v>151</v>
      </c>
      <c r="I18" s="16" t="s">
        <v>152</v>
      </c>
      <c r="J18" s="16" t="s">
        <v>152</v>
      </c>
      <c r="K18" s="16" t="s">
        <v>194</v>
      </c>
      <c r="L18" s="16" t="s">
        <v>154</v>
      </c>
      <c r="M18" s="16" t="s">
        <v>155</v>
      </c>
      <c r="N18" s="33" t="s">
        <v>156</v>
      </c>
      <c r="O18" s="33" t="s">
        <v>195</v>
      </c>
      <c r="P18" s="33" t="s">
        <v>158</v>
      </c>
      <c r="Q18" s="33">
        <v>3000</v>
      </c>
      <c r="R18" s="33">
        <v>28</v>
      </c>
      <c r="S18" s="33"/>
      <c r="T18" s="33">
        <v>2</v>
      </c>
      <c r="U18" s="33">
        <f t="shared" si="3"/>
        <v>224</v>
      </c>
      <c r="V18" s="33">
        <f>+Q18/30*R18</f>
        <v>2800</v>
      </c>
      <c r="W18" s="33">
        <f>+(3000+113)/30*T18</f>
        <v>207.53333333333333</v>
      </c>
      <c r="X18" s="33">
        <f>3.76666666666667*28</f>
        <v>105.46666666666677</v>
      </c>
      <c r="Y18" s="33"/>
      <c r="Z18" s="33">
        <v>3113</v>
      </c>
      <c r="AA18" s="33">
        <v>280.17</v>
      </c>
      <c r="AB18" s="33">
        <v>250</v>
      </c>
      <c r="AC18" s="37">
        <v>2500</v>
      </c>
      <c r="AD18" s="37"/>
      <c r="AE18" s="33">
        <f t="shared" si="5"/>
        <v>9256.17</v>
      </c>
      <c r="AF18" s="35"/>
      <c r="AG18" s="35"/>
      <c r="AH18" s="35"/>
      <c r="AI18" s="40">
        <v>706.6</v>
      </c>
      <c r="AJ18" s="33">
        <v>264.6099999999999</v>
      </c>
      <c r="AK18" s="33"/>
      <c r="AL18" s="33">
        <v>1319.02</v>
      </c>
      <c r="AM18" s="33">
        <v>177.58</v>
      </c>
      <c r="AN18" s="33">
        <v>29.95</v>
      </c>
      <c r="AO18" s="33">
        <f t="shared" si="0"/>
        <v>3393.17</v>
      </c>
      <c r="AP18" s="33">
        <f t="shared" si="6"/>
        <v>250</v>
      </c>
      <c r="AQ18" s="33">
        <f t="shared" si="6"/>
        <v>2500</v>
      </c>
      <c r="AR18" s="33">
        <f t="shared" si="1"/>
        <v>8640.93</v>
      </c>
      <c r="AS18" s="33">
        <f t="shared" si="2"/>
        <v>615.23999999999978</v>
      </c>
      <c r="AT18" s="36"/>
      <c r="AU18" s="36"/>
      <c r="AV18" s="35">
        <v>489.19</v>
      </c>
      <c r="AW18" s="35"/>
      <c r="AX18" s="35">
        <v>489.19</v>
      </c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</row>
    <row r="19" spans="1:142" s="34" customFormat="1" x14ac:dyDescent="0.3">
      <c r="A19" s="16" t="s">
        <v>196</v>
      </c>
      <c r="B19" s="16" t="s">
        <v>90</v>
      </c>
      <c r="C19" s="16" t="s">
        <v>39</v>
      </c>
      <c r="D19" s="18">
        <v>42233</v>
      </c>
      <c r="E19" s="18"/>
      <c r="F19" s="16" t="s">
        <v>150</v>
      </c>
      <c r="G19" s="16" t="s">
        <v>151</v>
      </c>
      <c r="H19" s="16" t="s">
        <v>151</v>
      </c>
      <c r="I19" s="16" t="s">
        <v>152</v>
      </c>
      <c r="J19" s="16" t="s">
        <v>152</v>
      </c>
      <c r="K19" s="16" t="s">
        <v>197</v>
      </c>
      <c r="L19" s="16" t="s">
        <v>154</v>
      </c>
      <c r="M19" s="16" t="s">
        <v>155</v>
      </c>
      <c r="N19" s="33" t="s">
        <v>198</v>
      </c>
      <c r="O19" s="33" t="s">
        <v>166</v>
      </c>
      <c r="P19" s="33" t="s">
        <v>177</v>
      </c>
      <c r="Q19" s="33">
        <v>3200</v>
      </c>
      <c r="R19" s="33">
        <v>30</v>
      </c>
      <c r="S19" s="33"/>
      <c r="T19" s="33"/>
      <c r="U19" s="33">
        <f t="shared" si="3"/>
        <v>240</v>
      </c>
      <c r="V19" s="33">
        <f t="shared" si="4"/>
        <v>3200</v>
      </c>
      <c r="W19" s="33"/>
      <c r="X19" s="33"/>
      <c r="Y19" s="33"/>
      <c r="Z19" s="33">
        <v>3200</v>
      </c>
      <c r="AA19" s="33">
        <v>216</v>
      </c>
      <c r="AB19" s="33">
        <v>250</v>
      </c>
      <c r="AC19" s="38">
        <v>1000</v>
      </c>
      <c r="AE19" s="33">
        <f t="shared" si="5"/>
        <v>7866</v>
      </c>
      <c r="AF19" s="39">
        <f>+(V19+X19+Y19+AC19)*0.1</f>
        <v>420</v>
      </c>
      <c r="AG19" s="35"/>
      <c r="AH19" s="39">
        <f>+(V19+X19+Y19+AC19)*1.37%</f>
        <v>57.54</v>
      </c>
      <c r="AI19" s="33"/>
      <c r="AJ19" s="33">
        <v>151.88000000000011</v>
      </c>
      <c r="AK19" s="33">
        <v>69.14</v>
      </c>
      <c r="AL19" s="33">
        <v>1600</v>
      </c>
      <c r="AM19" s="33"/>
      <c r="AN19" s="33"/>
      <c r="AO19" s="33">
        <f t="shared" si="0"/>
        <v>3416</v>
      </c>
      <c r="AP19" s="33">
        <f t="shared" si="6"/>
        <v>250</v>
      </c>
      <c r="AQ19" s="33">
        <f t="shared" si="6"/>
        <v>1000</v>
      </c>
      <c r="AR19" s="33">
        <f t="shared" si="1"/>
        <v>6964.5599999999995</v>
      </c>
      <c r="AS19" s="33">
        <f t="shared" si="2"/>
        <v>901.44000000000051</v>
      </c>
      <c r="AT19" s="36"/>
      <c r="AU19" s="36"/>
      <c r="AV19" s="35">
        <v>283.5</v>
      </c>
      <c r="AW19" s="35">
        <v>94.5</v>
      </c>
      <c r="AX19" s="35">
        <f>+AV19+AW19</f>
        <v>378</v>
      </c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</row>
    <row r="20" spans="1:142" s="42" customFormat="1" x14ac:dyDescent="0.3">
      <c r="A20" s="17" t="s">
        <v>199</v>
      </c>
      <c r="B20" s="17" t="s">
        <v>91</v>
      </c>
      <c r="C20" s="17" t="s">
        <v>68</v>
      </c>
      <c r="D20" s="19">
        <v>44743</v>
      </c>
      <c r="E20" s="18"/>
      <c r="F20" s="17" t="s">
        <v>150</v>
      </c>
      <c r="G20" s="17" t="s">
        <v>151</v>
      </c>
      <c r="H20" s="17" t="s">
        <v>151</v>
      </c>
      <c r="I20" s="17" t="s">
        <v>152</v>
      </c>
      <c r="J20" s="17" t="s">
        <v>152</v>
      </c>
      <c r="K20" s="17" t="s">
        <v>200</v>
      </c>
      <c r="L20" s="17" t="s">
        <v>154</v>
      </c>
      <c r="M20" s="17" t="s">
        <v>155</v>
      </c>
      <c r="N20" s="41" t="s">
        <v>156</v>
      </c>
      <c r="O20" s="41" t="s">
        <v>176</v>
      </c>
      <c r="P20" s="41" t="s">
        <v>177</v>
      </c>
      <c r="Q20" s="41">
        <v>2500</v>
      </c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3"/>
      <c r="AU20" s="43"/>
      <c r="AV20" s="41"/>
      <c r="AW20" s="41"/>
      <c r="AX20" s="41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</row>
    <row r="21" spans="1:142" x14ac:dyDescent="0.3">
      <c r="V21" s="45">
        <f t="shared" ref="V21:AQ21" si="7">SUM(V6:V20)</f>
        <v>62716.666666666672</v>
      </c>
      <c r="W21" s="45">
        <f t="shared" si="7"/>
        <v>863.9</v>
      </c>
      <c r="X21" s="45">
        <f t="shared" si="7"/>
        <v>644.10000000000025</v>
      </c>
      <c r="Y21" s="45">
        <f t="shared" si="7"/>
        <v>253.33333333333334</v>
      </c>
      <c r="Z21" s="45">
        <f t="shared" si="7"/>
        <v>64478</v>
      </c>
      <c r="AA21" s="45">
        <f t="shared" si="7"/>
        <v>4954.7700000000004</v>
      </c>
      <c r="AB21" s="45">
        <f t="shared" si="7"/>
        <v>3500</v>
      </c>
      <c r="AC21" s="45">
        <f t="shared" si="7"/>
        <v>13800</v>
      </c>
      <c r="AD21" s="45"/>
      <c r="AE21" s="45">
        <f t="shared" si="7"/>
        <v>151239.76999999999</v>
      </c>
      <c r="AF21" s="45">
        <f t="shared" si="7"/>
        <v>7209.72</v>
      </c>
      <c r="AG21" s="45">
        <f t="shared" si="7"/>
        <v>891.14799999999991</v>
      </c>
      <c r="AH21" s="45">
        <f t="shared" si="7"/>
        <v>897.02809999999988</v>
      </c>
      <c r="AI21" s="45">
        <f t="shared" si="7"/>
        <v>706.6</v>
      </c>
      <c r="AJ21" s="45">
        <f t="shared" si="7"/>
        <v>5192.4100000000071</v>
      </c>
      <c r="AK21" s="45">
        <f t="shared" si="7"/>
        <v>870.7</v>
      </c>
      <c r="AL21" s="45">
        <f t="shared" si="7"/>
        <v>31438.920000000002</v>
      </c>
      <c r="AM21" s="45">
        <f t="shared" si="7"/>
        <v>745.35</v>
      </c>
      <c r="AN21" s="45">
        <f t="shared" si="7"/>
        <v>29.95</v>
      </c>
      <c r="AO21" s="45">
        <f t="shared" si="7"/>
        <v>69432.76999999999</v>
      </c>
      <c r="AP21" s="45">
        <f t="shared" si="7"/>
        <v>3500</v>
      </c>
      <c r="AQ21" s="45">
        <f t="shared" si="7"/>
        <v>13800</v>
      </c>
      <c r="AR21" s="45">
        <f>SUM(AR6:AR20)</f>
        <v>134714.5961</v>
      </c>
      <c r="AS21" s="45">
        <f>SUM(AS6:AS20)</f>
        <v>16525.173899999991</v>
      </c>
      <c r="AT21" s="46"/>
      <c r="AU21" s="46"/>
      <c r="AV21" s="45">
        <f>SUM(AV6:AV20)</f>
        <v>6017.19</v>
      </c>
      <c r="AW21" s="45">
        <f>SUM(AW6:AW20)</f>
        <v>960.75</v>
      </c>
      <c r="AX21" s="45">
        <f>SUM(AX6:AX20)</f>
        <v>6977.94</v>
      </c>
    </row>
    <row r="22" spans="1:142" x14ac:dyDescent="0.3">
      <c r="AE22" s="28">
        <v>29</v>
      </c>
    </row>
    <row r="27" spans="1:142" x14ac:dyDescent="0.3">
      <c r="AF27" s="47"/>
    </row>
  </sheetData>
  <mergeCells count="1"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968F-1C62-47F1-B79B-B75596655F59}">
  <dimension ref="A2:Y226"/>
  <sheetViews>
    <sheetView workbookViewId="0">
      <selection activeCell="U15" sqref="U15"/>
    </sheetView>
  </sheetViews>
  <sheetFormatPr baseColWidth="10" defaultColWidth="11.109375" defaultRowHeight="12" x14ac:dyDescent="0.25"/>
  <cols>
    <col min="1" max="1" width="6.44140625" style="1" customWidth="1"/>
    <col min="2" max="2" width="11.109375" style="1"/>
    <col min="3" max="3" width="7.44140625" style="1" customWidth="1"/>
    <col min="4" max="6" width="11.109375" style="1"/>
    <col min="7" max="8" width="0" style="1" hidden="1" customWidth="1"/>
    <col min="9" max="9" width="8.5546875" style="1" hidden="1" customWidth="1"/>
    <col min="10" max="10" width="7.88671875" style="1" hidden="1" customWidth="1"/>
    <col min="11" max="12" width="0" style="1" hidden="1" customWidth="1"/>
    <col min="13" max="14" width="15.77734375" style="1" hidden="1" customWidth="1"/>
    <col min="15" max="18" width="0" style="1" hidden="1" customWidth="1"/>
    <col min="19" max="16384" width="11.109375" style="1"/>
  </cols>
  <sheetData>
    <row r="2" spans="1:22" ht="15" customHeight="1" x14ac:dyDescent="0.25">
      <c r="A2" s="118" t="s">
        <v>248</v>
      </c>
      <c r="B2" s="118"/>
      <c r="C2" s="118"/>
      <c r="D2" s="118"/>
      <c r="E2" s="118"/>
      <c r="V2" s="1" t="s">
        <v>1</v>
      </c>
    </row>
    <row r="3" spans="1:22" ht="15" customHeight="1" x14ac:dyDescent="0.25">
      <c r="V3" s="1" t="s">
        <v>249</v>
      </c>
    </row>
    <row r="6" spans="1:22" ht="15" customHeight="1" x14ac:dyDescent="0.25">
      <c r="A6" s="119" t="s">
        <v>2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1"/>
    </row>
    <row r="7" spans="1:22" ht="15" customHeight="1" x14ac:dyDescent="0.25">
      <c r="A7" s="122" t="s">
        <v>3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4"/>
    </row>
    <row r="8" spans="1:22" ht="15" customHeight="1" x14ac:dyDescent="0.25">
      <c r="A8" s="122" t="s">
        <v>4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4"/>
    </row>
    <row r="9" spans="1:22" ht="15" customHeight="1" x14ac:dyDescent="0.25">
      <c r="A9" s="125" t="s">
        <v>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7"/>
    </row>
    <row r="11" spans="1:22" ht="15" customHeight="1" x14ac:dyDescent="0.25">
      <c r="A11" s="128" t="s">
        <v>6</v>
      </c>
      <c r="B11" s="129"/>
      <c r="C11" s="129"/>
      <c r="D11" s="129"/>
      <c r="E11" s="129"/>
      <c r="F11" s="130"/>
      <c r="G11" s="128" t="s">
        <v>250</v>
      </c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30"/>
      <c r="U11" s="128" t="s">
        <v>251</v>
      </c>
      <c r="V11" s="130"/>
    </row>
    <row r="12" spans="1:22" ht="15" customHeight="1" x14ac:dyDescent="0.25">
      <c r="A12" s="128" t="s">
        <v>8</v>
      </c>
      <c r="B12" s="130"/>
      <c r="C12" s="131" t="s">
        <v>9</v>
      </c>
      <c r="D12" s="131" t="s">
        <v>10</v>
      </c>
      <c r="E12" s="131" t="s">
        <v>11</v>
      </c>
      <c r="F12" s="131" t="s">
        <v>201</v>
      </c>
      <c r="G12" s="128" t="s">
        <v>252</v>
      </c>
      <c r="H12" s="130"/>
      <c r="I12" s="128" t="s">
        <v>253</v>
      </c>
      <c r="J12" s="130"/>
      <c r="K12" s="128" t="s">
        <v>254</v>
      </c>
      <c r="L12" s="130"/>
      <c r="M12" s="128" t="s">
        <v>255</v>
      </c>
      <c r="N12" s="130"/>
      <c r="O12" s="128" t="s">
        <v>256</v>
      </c>
      <c r="P12" s="130"/>
      <c r="Q12" s="128" t="s">
        <v>257</v>
      </c>
      <c r="R12" s="130"/>
      <c r="S12" s="128" t="s">
        <v>258</v>
      </c>
      <c r="T12" s="130"/>
      <c r="U12" s="151"/>
      <c r="V12" s="152"/>
    </row>
    <row r="13" spans="1:22" ht="15" customHeight="1" x14ac:dyDescent="0.25">
      <c r="A13" s="2" t="s">
        <v>15</v>
      </c>
      <c r="B13" s="2" t="s">
        <v>16</v>
      </c>
      <c r="C13" s="132"/>
      <c r="D13" s="132"/>
      <c r="E13" s="132"/>
      <c r="F13" s="132"/>
      <c r="G13" s="2" t="s">
        <v>259</v>
      </c>
      <c r="H13" s="2" t="s">
        <v>260</v>
      </c>
      <c r="I13" s="2" t="s">
        <v>259</v>
      </c>
      <c r="J13" s="2" t="s">
        <v>260</v>
      </c>
      <c r="K13" s="2" t="s">
        <v>259</v>
      </c>
      <c r="L13" s="2" t="s">
        <v>260</v>
      </c>
      <c r="M13" s="2" t="s">
        <v>259</v>
      </c>
      <c r="N13" s="2" t="s">
        <v>260</v>
      </c>
      <c r="O13" s="2" t="s">
        <v>259</v>
      </c>
      <c r="P13" s="2" t="s">
        <v>260</v>
      </c>
      <c r="Q13" s="2" t="s">
        <v>259</v>
      </c>
      <c r="R13" s="2" t="s">
        <v>260</v>
      </c>
      <c r="S13" s="2" t="s">
        <v>259</v>
      </c>
      <c r="T13" s="2" t="s">
        <v>260</v>
      </c>
      <c r="U13" s="2" t="s">
        <v>259</v>
      </c>
      <c r="V13" s="2" t="s">
        <v>260</v>
      </c>
    </row>
    <row r="14" spans="1:22" ht="15" customHeight="1" x14ac:dyDescent="0.25">
      <c r="A14" s="3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49" t="s">
        <v>202</v>
      </c>
      <c r="G14" s="49">
        <v>3800</v>
      </c>
      <c r="H14" s="49">
        <v>3800</v>
      </c>
      <c r="I14" s="49" t="s">
        <v>261</v>
      </c>
      <c r="J14" s="49" t="s">
        <v>261</v>
      </c>
      <c r="K14" s="49" t="s">
        <v>261</v>
      </c>
      <c r="L14" s="49" t="s">
        <v>261</v>
      </c>
      <c r="M14" s="49" t="s">
        <v>261</v>
      </c>
      <c r="N14" s="49" t="s">
        <v>261</v>
      </c>
      <c r="O14" s="49" t="s">
        <v>261</v>
      </c>
      <c r="P14" s="49" t="s">
        <v>261</v>
      </c>
      <c r="Q14" s="49" t="s">
        <v>261</v>
      </c>
      <c r="R14" s="49" t="s">
        <v>261</v>
      </c>
      <c r="S14" s="49" t="s">
        <v>261</v>
      </c>
      <c r="T14" s="49" t="s">
        <v>261</v>
      </c>
      <c r="U14" s="49">
        <v>3800</v>
      </c>
      <c r="V14" s="49">
        <v>3800</v>
      </c>
    </row>
    <row r="15" spans="1:22" ht="15" customHeight="1" x14ac:dyDescent="0.25">
      <c r="A15" s="3" t="s">
        <v>17</v>
      </c>
      <c r="B15" s="1" t="s">
        <v>33</v>
      </c>
      <c r="C15" s="1" t="s">
        <v>19</v>
      </c>
      <c r="D15" s="1" t="s">
        <v>25</v>
      </c>
      <c r="E15" s="1" t="s">
        <v>34</v>
      </c>
      <c r="F15" s="49" t="s">
        <v>202</v>
      </c>
      <c r="G15" s="49">
        <v>10000</v>
      </c>
      <c r="H15" s="49">
        <v>10000</v>
      </c>
      <c r="I15" s="49">
        <v>113</v>
      </c>
      <c r="J15" s="49">
        <v>113</v>
      </c>
      <c r="K15" s="49" t="s">
        <v>261</v>
      </c>
      <c r="L15" s="49" t="s">
        <v>261</v>
      </c>
      <c r="M15" s="49" t="s">
        <v>261</v>
      </c>
      <c r="N15" s="49" t="s">
        <v>261</v>
      </c>
      <c r="O15" s="49" t="s">
        <v>261</v>
      </c>
      <c r="P15" s="49" t="s">
        <v>261</v>
      </c>
      <c r="Q15" s="49" t="s">
        <v>261</v>
      </c>
      <c r="R15" s="49" t="s">
        <v>261</v>
      </c>
      <c r="S15" s="49" t="s">
        <v>261</v>
      </c>
      <c r="T15" s="49" t="s">
        <v>261</v>
      </c>
      <c r="U15" s="49">
        <v>10113</v>
      </c>
      <c r="V15" s="49">
        <v>10113</v>
      </c>
    </row>
    <row r="16" spans="1:22" ht="15" customHeight="1" x14ac:dyDescent="0.25">
      <c r="A16" s="3" t="s">
        <v>17</v>
      </c>
      <c r="B16" s="1" t="s">
        <v>24</v>
      </c>
      <c r="C16" s="1" t="s">
        <v>19</v>
      </c>
      <c r="D16" s="1" t="s">
        <v>25</v>
      </c>
      <c r="E16" s="1" t="s">
        <v>26</v>
      </c>
      <c r="F16" s="49" t="s">
        <v>202</v>
      </c>
      <c r="G16" s="49">
        <v>15000</v>
      </c>
      <c r="H16" s="49">
        <v>15000</v>
      </c>
      <c r="I16" s="49" t="s">
        <v>261</v>
      </c>
      <c r="J16" s="49" t="s">
        <v>261</v>
      </c>
      <c r="K16" s="49" t="s">
        <v>261</v>
      </c>
      <c r="L16" s="49" t="s">
        <v>261</v>
      </c>
      <c r="M16" s="49" t="s">
        <v>261</v>
      </c>
      <c r="N16" s="49" t="s">
        <v>261</v>
      </c>
      <c r="O16" s="49" t="s">
        <v>261</v>
      </c>
      <c r="P16" s="49" t="s">
        <v>261</v>
      </c>
      <c r="Q16" s="49" t="s">
        <v>261</v>
      </c>
      <c r="R16" s="49" t="s">
        <v>261</v>
      </c>
      <c r="S16" s="49" t="s">
        <v>261</v>
      </c>
      <c r="T16" s="49" t="s">
        <v>261</v>
      </c>
      <c r="U16" s="49">
        <v>15000</v>
      </c>
      <c r="V16" s="49">
        <v>15000</v>
      </c>
    </row>
    <row r="17" spans="1:22" ht="15" customHeight="1" x14ac:dyDescent="0.25">
      <c r="A17" s="3" t="s">
        <v>17</v>
      </c>
      <c r="B17" s="1" t="s">
        <v>55</v>
      </c>
      <c r="C17" s="1" t="s">
        <v>56</v>
      </c>
      <c r="D17" s="1" t="s">
        <v>28</v>
      </c>
      <c r="E17" s="1" t="s">
        <v>57</v>
      </c>
      <c r="F17" s="49" t="s">
        <v>202</v>
      </c>
      <c r="G17" s="49">
        <v>3500</v>
      </c>
      <c r="H17" s="49">
        <v>3500</v>
      </c>
      <c r="I17" s="49" t="s">
        <v>261</v>
      </c>
      <c r="J17" s="49" t="s">
        <v>261</v>
      </c>
      <c r="K17" s="49" t="s">
        <v>261</v>
      </c>
      <c r="L17" s="49" t="s">
        <v>261</v>
      </c>
      <c r="M17" s="49" t="s">
        <v>261</v>
      </c>
      <c r="N17" s="49" t="s">
        <v>261</v>
      </c>
      <c r="O17" s="49" t="s">
        <v>261</v>
      </c>
      <c r="P17" s="49" t="s">
        <v>261</v>
      </c>
      <c r="Q17" s="49" t="s">
        <v>261</v>
      </c>
      <c r="R17" s="49" t="s">
        <v>261</v>
      </c>
      <c r="S17" s="49" t="s">
        <v>261</v>
      </c>
      <c r="T17" s="49" t="s">
        <v>261</v>
      </c>
      <c r="U17" s="49">
        <v>3500</v>
      </c>
      <c r="V17" s="49">
        <v>3500</v>
      </c>
    </row>
    <row r="18" spans="1:22" ht="15" customHeight="1" x14ac:dyDescent="0.25">
      <c r="A18" s="3" t="s">
        <v>17</v>
      </c>
      <c r="B18" s="1" t="s">
        <v>47</v>
      </c>
      <c r="C18" s="1" t="s">
        <v>48</v>
      </c>
      <c r="D18" s="1" t="s">
        <v>49</v>
      </c>
      <c r="E18" s="1" t="s">
        <v>50</v>
      </c>
      <c r="F18" s="49" t="s">
        <v>202</v>
      </c>
      <c r="G18" s="49">
        <v>3800</v>
      </c>
      <c r="H18" s="49">
        <v>3800</v>
      </c>
      <c r="I18" s="49" t="s">
        <v>261</v>
      </c>
      <c r="J18" s="49" t="s">
        <v>261</v>
      </c>
      <c r="K18" s="49" t="s">
        <v>261</v>
      </c>
      <c r="L18" s="49" t="s">
        <v>261</v>
      </c>
      <c r="M18" s="49" t="s">
        <v>261</v>
      </c>
      <c r="N18" s="49" t="s">
        <v>261</v>
      </c>
      <c r="O18" s="49" t="s">
        <v>261</v>
      </c>
      <c r="P18" s="49" t="s">
        <v>261</v>
      </c>
      <c r="Q18" s="49" t="s">
        <v>261</v>
      </c>
      <c r="R18" s="49" t="s">
        <v>261</v>
      </c>
      <c r="S18" s="49" t="s">
        <v>261</v>
      </c>
      <c r="T18" s="49" t="s">
        <v>261</v>
      </c>
      <c r="U18" s="49">
        <v>3800</v>
      </c>
      <c r="V18" s="49">
        <v>3800</v>
      </c>
    </row>
    <row r="19" spans="1:22" ht="15" customHeight="1" x14ac:dyDescent="0.25">
      <c r="A19" s="3" t="s">
        <v>17</v>
      </c>
      <c r="B19" s="1" t="s">
        <v>58</v>
      </c>
      <c r="C19" s="1" t="s">
        <v>49</v>
      </c>
      <c r="D19" s="1" t="s">
        <v>59</v>
      </c>
      <c r="E19" s="1" t="s">
        <v>60</v>
      </c>
      <c r="F19" s="49" t="s">
        <v>202</v>
      </c>
      <c r="G19" s="49">
        <v>3800</v>
      </c>
      <c r="H19" s="49">
        <v>3800</v>
      </c>
      <c r="I19" s="49">
        <v>113</v>
      </c>
      <c r="J19" s="49">
        <v>113</v>
      </c>
      <c r="K19" s="49" t="s">
        <v>261</v>
      </c>
      <c r="L19" s="49" t="s">
        <v>261</v>
      </c>
      <c r="M19" s="49" t="s">
        <v>261</v>
      </c>
      <c r="N19" s="49" t="s">
        <v>261</v>
      </c>
      <c r="O19" s="49" t="s">
        <v>261</v>
      </c>
      <c r="P19" s="49" t="s">
        <v>261</v>
      </c>
      <c r="Q19" s="49" t="s">
        <v>261</v>
      </c>
      <c r="R19" s="49" t="s">
        <v>261</v>
      </c>
      <c r="S19" s="49" t="s">
        <v>261</v>
      </c>
      <c r="T19" s="49" t="s">
        <v>261</v>
      </c>
      <c r="U19" s="49">
        <v>3913</v>
      </c>
      <c r="V19" s="49">
        <v>3913</v>
      </c>
    </row>
    <row r="20" spans="1:22" ht="15" customHeight="1" x14ac:dyDescent="0.25">
      <c r="A20" s="3" t="s">
        <v>17</v>
      </c>
      <c r="B20" s="1" t="s">
        <v>35</v>
      </c>
      <c r="C20" s="1" t="s">
        <v>36</v>
      </c>
      <c r="D20" s="1" t="s">
        <v>37</v>
      </c>
      <c r="E20" s="1" t="s">
        <v>38</v>
      </c>
      <c r="F20" s="49" t="s">
        <v>202</v>
      </c>
      <c r="G20" s="49">
        <v>2700</v>
      </c>
      <c r="H20" s="49">
        <v>2700</v>
      </c>
      <c r="I20" s="49">
        <v>113</v>
      </c>
      <c r="J20" s="49">
        <v>113</v>
      </c>
      <c r="K20" s="49" t="s">
        <v>261</v>
      </c>
      <c r="L20" s="49" t="s">
        <v>261</v>
      </c>
      <c r="M20" s="49" t="s">
        <v>261</v>
      </c>
      <c r="N20" s="49" t="s">
        <v>261</v>
      </c>
      <c r="O20" s="49" t="s">
        <v>261</v>
      </c>
      <c r="P20" s="49" t="s">
        <v>261</v>
      </c>
      <c r="Q20" s="49" t="s">
        <v>261</v>
      </c>
      <c r="R20" s="49" t="s">
        <v>261</v>
      </c>
      <c r="S20" s="49" t="s">
        <v>261</v>
      </c>
      <c r="T20" s="49" t="s">
        <v>261</v>
      </c>
      <c r="U20" s="49">
        <v>2813</v>
      </c>
      <c r="V20" s="49">
        <v>2813</v>
      </c>
    </row>
    <row r="21" spans="1:22" ht="15" customHeight="1" x14ac:dyDescent="0.25">
      <c r="A21" s="3" t="s">
        <v>17</v>
      </c>
      <c r="B21" s="1" t="s">
        <v>27</v>
      </c>
      <c r="C21" s="1" t="s">
        <v>28</v>
      </c>
      <c r="D21" s="1" t="s">
        <v>29</v>
      </c>
      <c r="E21" s="1" t="s">
        <v>30</v>
      </c>
      <c r="F21" s="49" t="s">
        <v>202</v>
      </c>
      <c r="G21" s="49">
        <v>3546.67</v>
      </c>
      <c r="H21" s="49">
        <v>3546.67</v>
      </c>
      <c r="I21" s="49">
        <v>113</v>
      </c>
      <c r="J21" s="49">
        <v>113</v>
      </c>
      <c r="K21" s="49" t="s">
        <v>261</v>
      </c>
      <c r="L21" s="49" t="s">
        <v>261</v>
      </c>
      <c r="M21" s="49" t="s">
        <v>261</v>
      </c>
      <c r="N21" s="49" t="s">
        <v>261</v>
      </c>
      <c r="O21" s="49" t="s">
        <v>261</v>
      </c>
      <c r="P21" s="49" t="s">
        <v>261</v>
      </c>
      <c r="Q21" s="49">
        <v>253.33</v>
      </c>
      <c r="R21" s="49">
        <v>253.33</v>
      </c>
      <c r="S21" s="49" t="s">
        <v>261</v>
      </c>
      <c r="T21" s="49" t="s">
        <v>261</v>
      </c>
      <c r="U21" s="49">
        <v>3913</v>
      </c>
      <c r="V21" s="49">
        <v>3913</v>
      </c>
    </row>
    <row r="22" spans="1:22" ht="15" customHeight="1" x14ac:dyDescent="0.25">
      <c r="A22" s="3" t="s">
        <v>17</v>
      </c>
      <c r="B22" s="1" t="s">
        <v>39</v>
      </c>
      <c r="C22" s="1" t="s">
        <v>40</v>
      </c>
      <c r="D22" s="1" t="s">
        <v>41</v>
      </c>
      <c r="E22" s="1" t="s">
        <v>42</v>
      </c>
      <c r="F22" s="49" t="s">
        <v>202</v>
      </c>
      <c r="G22" s="49">
        <v>3200</v>
      </c>
      <c r="H22" s="49">
        <v>3200</v>
      </c>
      <c r="I22" s="49" t="s">
        <v>261</v>
      </c>
      <c r="J22" s="49" t="s">
        <v>261</v>
      </c>
      <c r="K22" s="49" t="s">
        <v>261</v>
      </c>
      <c r="L22" s="49" t="s">
        <v>261</v>
      </c>
      <c r="M22" s="49" t="s">
        <v>261</v>
      </c>
      <c r="N22" s="49" t="s">
        <v>261</v>
      </c>
      <c r="O22" s="49" t="s">
        <v>261</v>
      </c>
      <c r="P22" s="49" t="s">
        <v>261</v>
      </c>
      <c r="Q22" s="49" t="s">
        <v>261</v>
      </c>
      <c r="R22" s="49" t="s">
        <v>261</v>
      </c>
      <c r="S22" s="49" t="s">
        <v>261</v>
      </c>
      <c r="T22" s="49" t="s">
        <v>261</v>
      </c>
      <c r="U22" s="49">
        <v>3200</v>
      </c>
      <c r="V22" s="49">
        <v>3200</v>
      </c>
    </row>
    <row r="23" spans="1:22" ht="15" customHeight="1" x14ac:dyDescent="0.25">
      <c r="A23" s="3" t="s">
        <v>17</v>
      </c>
      <c r="B23" s="1" t="s">
        <v>43</v>
      </c>
      <c r="C23" s="1" t="s">
        <v>44</v>
      </c>
      <c r="D23" s="1" t="s">
        <v>45</v>
      </c>
      <c r="E23" s="1" t="s">
        <v>46</v>
      </c>
      <c r="F23" s="49" t="s">
        <v>202</v>
      </c>
      <c r="G23" s="49">
        <v>2800</v>
      </c>
      <c r="H23" s="49">
        <v>2800</v>
      </c>
      <c r="I23" s="49">
        <v>113</v>
      </c>
      <c r="J23" s="49">
        <v>113</v>
      </c>
      <c r="K23" s="49" t="s">
        <v>261</v>
      </c>
      <c r="L23" s="49" t="s">
        <v>261</v>
      </c>
      <c r="M23" s="49" t="s">
        <v>261</v>
      </c>
      <c r="N23" s="49" t="s">
        <v>261</v>
      </c>
      <c r="O23" s="49" t="s">
        <v>261</v>
      </c>
      <c r="P23" s="49" t="s">
        <v>261</v>
      </c>
      <c r="Q23" s="49" t="s">
        <v>261</v>
      </c>
      <c r="R23" s="49" t="s">
        <v>261</v>
      </c>
      <c r="S23" s="49" t="s">
        <v>261</v>
      </c>
      <c r="T23" s="49" t="s">
        <v>261</v>
      </c>
      <c r="U23" s="49">
        <v>2913</v>
      </c>
      <c r="V23" s="49">
        <v>2913</v>
      </c>
    </row>
    <row r="24" spans="1:22" ht="15" customHeight="1" x14ac:dyDescent="0.25">
      <c r="A24" s="3" t="s">
        <v>17</v>
      </c>
      <c r="B24" s="1" t="s">
        <v>72</v>
      </c>
      <c r="C24" s="1" t="s">
        <v>28</v>
      </c>
      <c r="D24" s="1" t="s">
        <v>73</v>
      </c>
      <c r="E24" s="1" t="s">
        <v>74</v>
      </c>
      <c r="F24" s="49" t="s">
        <v>202</v>
      </c>
      <c r="G24" s="49">
        <v>2500</v>
      </c>
      <c r="H24" s="49">
        <v>2500</v>
      </c>
      <c r="I24" s="49" t="s">
        <v>261</v>
      </c>
      <c r="J24" s="49" t="s">
        <v>261</v>
      </c>
      <c r="K24" s="49" t="s">
        <v>261</v>
      </c>
      <c r="L24" s="49" t="s">
        <v>261</v>
      </c>
      <c r="M24" s="49" t="s">
        <v>261</v>
      </c>
      <c r="N24" s="49" t="s">
        <v>261</v>
      </c>
      <c r="O24" s="49" t="s">
        <v>261</v>
      </c>
      <c r="P24" s="49" t="s">
        <v>261</v>
      </c>
      <c r="Q24" s="49" t="s">
        <v>261</v>
      </c>
      <c r="R24" s="49" t="s">
        <v>261</v>
      </c>
      <c r="S24" s="49" t="s">
        <v>261</v>
      </c>
      <c r="T24" s="49" t="s">
        <v>261</v>
      </c>
      <c r="U24" s="49">
        <v>2500</v>
      </c>
      <c r="V24" s="49">
        <v>2500</v>
      </c>
    </row>
    <row r="25" spans="1:22" ht="15" customHeight="1" x14ac:dyDescent="0.25">
      <c r="A25" s="3" t="s">
        <v>17</v>
      </c>
      <c r="B25" s="1" t="s">
        <v>51</v>
      </c>
      <c r="C25" s="1" t="s">
        <v>52</v>
      </c>
      <c r="D25" s="1" t="s">
        <v>53</v>
      </c>
      <c r="E25" s="1" t="s">
        <v>54</v>
      </c>
      <c r="F25" s="49" t="s">
        <v>202</v>
      </c>
      <c r="G25" s="49">
        <v>2700</v>
      </c>
      <c r="H25" s="49">
        <v>2700</v>
      </c>
      <c r="I25" s="49" t="s">
        <v>261</v>
      </c>
      <c r="J25" s="49" t="s">
        <v>261</v>
      </c>
      <c r="K25" s="49" t="s">
        <v>261</v>
      </c>
      <c r="L25" s="49" t="s">
        <v>261</v>
      </c>
      <c r="M25" s="49" t="s">
        <v>261</v>
      </c>
      <c r="N25" s="49" t="s">
        <v>261</v>
      </c>
      <c r="O25" s="49" t="s">
        <v>261</v>
      </c>
      <c r="P25" s="49" t="s">
        <v>261</v>
      </c>
      <c r="Q25" s="49" t="s">
        <v>261</v>
      </c>
      <c r="R25" s="49" t="s">
        <v>261</v>
      </c>
      <c r="S25" s="49" t="s">
        <v>261</v>
      </c>
      <c r="T25" s="49" t="s">
        <v>261</v>
      </c>
      <c r="U25" s="49">
        <v>2700</v>
      </c>
      <c r="V25" s="49">
        <v>2700</v>
      </c>
    </row>
    <row r="26" spans="1:22" ht="15" customHeight="1" x14ac:dyDescent="0.25">
      <c r="A26" s="3" t="s">
        <v>17</v>
      </c>
      <c r="B26" s="1" t="s">
        <v>65</v>
      </c>
      <c r="C26" s="1" t="s">
        <v>66</v>
      </c>
      <c r="D26" s="1" t="s">
        <v>67</v>
      </c>
      <c r="E26" s="1" t="s">
        <v>38</v>
      </c>
      <c r="F26" s="49" t="s">
        <v>202</v>
      </c>
      <c r="G26" s="49">
        <v>3000</v>
      </c>
      <c r="H26" s="49">
        <v>3000</v>
      </c>
      <c r="I26" s="49">
        <v>113</v>
      </c>
      <c r="J26" s="49">
        <v>113</v>
      </c>
      <c r="K26" s="49" t="s">
        <v>261</v>
      </c>
      <c r="L26" s="49" t="s">
        <v>261</v>
      </c>
      <c r="M26" s="49" t="s">
        <v>261</v>
      </c>
      <c r="N26" s="49" t="s">
        <v>261</v>
      </c>
      <c r="O26" s="49" t="s">
        <v>261</v>
      </c>
      <c r="P26" s="49" t="s">
        <v>261</v>
      </c>
      <c r="Q26" s="49" t="s">
        <v>261</v>
      </c>
      <c r="R26" s="49" t="s">
        <v>261</v>
      </c>
      <c r="S26" s="49" t="s">
        <v>261</v>
      </c>
      <c r="T26" s="49" t="s">
        <v>261</v>
      </c>
      <c r="U26" s="49">
        <v>3113</v>
      </c>
      <c r="V26" s="49">
        <v>3113</v>
      </c>
    </row>
    <row r="27" spans="1:22" ht="15" customHeight="1" x14ac:dyDescent="0.25">
      <c r="A27" s="3" t="s">
        <v>17</v>
      </c>
      <c r="B27" s="1" t="s">
        <v>61</v>
      </c>
      <c r="C27" s="1" t="s">
        <v>62</v>
      </c>
      <c r="D27" s="1" t="s">
        <v>63</v>
      </c>
      <c r="E27" s="1" t="s">
        <v>64</v>
      </c>
      <c r="F27" s="49" t="s">
        <v>202</v>
      </c>
      <c r="G27" s="49">
        <v>3200</v>
      </c>
      <c r="H27" s="49">
        <v>3200</v>
      </c>
      <c r="I27" s="49" t="s">
        <v>261</v>
      </c>
      <c r="J27" s="49" t="s">
        <v>261</v>
      </c>
      <c r="K27" s="49" t="s">
        <v>261</v>
      </c>
      <c r="L27" s="49" t="s">
        <v>261</v>
      </c>
      <c r="M27" s="49" t="s">
        <v>261</v>
      </c>
      <c r="N27" s="49" t="s">
        <v>261</v>
      </c>
      <c r="O27" s="49" t="s">
        <v>261</v>
      </c>
      <c r="P27" s="49" t="s">
        <v>261</v>
      </c>
      <c r="Q27" s="49" t="s">
        <v>261</v>
      </c>
      <c r="R27" s="49" t="s">
        <v>261</v>
      </c>
      <c r="S27" s="49" t="s">
        <v>261</v>
      </c>
      <c r="T27" s="49" t="s">
        <v>261</v>
      </c>
      <c r="U27" s="49">
        <v>3200</v>
      </c>
      <c r="V27" s="49">
        <v>3200</v>
      </c>
    </row>
    <row r="28" spans="1:22" ht="15" customHeight="1" x14ac:dyDescent="0.25">
      <c r="A28" s="3" t="s">
        <v>17</v>
      </c>
      <c r="B28" s="1" t="s">
        <v>68</v>
      </c>
      <c r="C28" s="1" t="s">
        <v>69</v>
      </c>
      <c r="D28" s="1" t="s">
        <v>70</v>
      </c>
      <c r="E28" s="1" t="s">
        <v>71</v>
      </c>
      <c r="F28" s="49" t="s">
        <v>202</v>
      </c>
      <c r="G28" s="49">
        <v>2500</v>
      </c>
      <c r="H28" s="49">
        <v>2500</v>
      </c>
      <c r="I28" s="49" t="s">
        <v>261</v>
      </c>
      <c r="J28" s="49" t="s">
        <v>261</v>
      </c>
      <c r="K28" s="49" t="s">
        <v>261</v>
      </c>
      <c r="L28" s="49" t="s">
        <v>261</v>
      </c>
      <c r="M28" s="49" t="s">
        <v>261</v>
      </c>
      <c r="N28" s="49" t="s">
        <v>261</v>
      </c>
      <c r="O28" s="49" t="s">
        <v>261</v>
      </c>
      <c r="P28" s="49" t="s">
        <v>261</v>
      </c>
      <c r="Q28" s="49" t="s">
        <v>261</v>
      </c>
      <c r="R28" s="49" t="s">
        <v>261</v>
      </c>
      <c r="S28" s="49" t="s">
        <v>261</v>
      </c>
      <c r="T28" s="49" t="s">
        <v>261</v>
      </c>
      <c r="U28" s="49">
        <v>2500</v>
      </c>
      <c r="V28" s="49">
        <v>2500</v>
      </c>
    </row>
    <row r="29" spans="1:22" ht="15" customHeight="1" x14ac:dyDescent="0.25">
      <c r="G29" s="89">
        <f t="shared" ref="G29:V29" si="0">SUM(G14:G28)</f>
        <v>66046.67</v>
      </c>
      <c r="H29" s="89">
        <f t="shared" si="0"/>
        <v>66046.67</v>
      </c>
      <c r="I29" s="89">
        <f t="shared" si="0"/>
        <v>678</v>
      </c>
      <c r="J29" s="89">
        <f t="shared" si="0"/>
        <v>678</v>
      </c>
      <c r="K29" s="89">
        <f t="shared" si="0"/>
        <v>0</v>
      </c>
      <c r="L29" s="89">
        <f t="shared" si="0"/>
        <v>0</v>
      </c>
      <c r="M29" s="89">
        <f t="shared" si="0"/>
        <v>0</v>
      </c>
      <c r="N29" s="89">
        <f t="shared" si="0"/>
        <v>0</v>
      </c>
      <c r="O29" s="89">
        <f t="shared" si="0"/>
        <v>0</v>
      </c>
      <c r="P29" s="89">
        <f t="shared" si="0"/>
        <v>0</v>
      </c>
      <c r="Q29" s="89">
        <f t="shared" si="0"/>
        <v>253.33</v>
      </c>
      <c r="R29" s="89">
        <f t="shared" si="0"/>
        <v>253.33</v>
      </c>
      <c r="S29" s="89">
        <f t="shared" si="0"/>
        <v>0</v>
      </c>
      <c r="T29" s="89">
        <f t="shared" si="0"/>
        <v>0</v>
      </c>
      <c r="U29" s="89">
        <f t="shared" si="0"/>
        <v>66978</v>
      </c>
      <c r="V29" s="89">
        <f t="shared" si="0"/>
        <v>66978</v>
      </c>
    </row>
    <row r="30" spans="1:22" ht="15" customHeight="1" x14ac:dyDescent="0.25">
      <c r="A30" s="90">
        <v>45689</v>
      </c>
    </row>
    <row r="31" spans="1:22" ht="15" customHeight="1" x14ac:dyDescent="0.25">
      <c r="A31" s="3" t="s">
        <v>17</v>
      </c>
      <c r="B31" s="1" t="s">
        <v>18</v>
      </c>
      <c r="C31" s="1" t="s">
        <v>19</v>
      </c>
      <c r="D31" s="1" t="s">
        <v>20</v>
      </c>
      <c r="E31" s="1" t="s">
        <v>21</v>
      </c>
      <c r="F31" s="49" t="s">
        <v>202</v>
      </c>
      <c r="G31" s="49">
        <v>3800</v>
      </c>
      <c r="H31" s="49">
        <v>3800</v>
      </c>
      <c r="I31" s="49" t="s">
        <v>261</v>
      </c>
      <c r="J31" s="49" t="s">
        <v>261</v>
      </c>
      <c r="K31" s="49" t="s">
        <v>261</v>
      </c>
      <c r="L31" s="49" t="s">
        <v>261</v>
      </c>
      <c r="M31" s="49" t="s">
        <v>261</v>
      </c>
      <c r="N31" s="49" t="s">
        <v>261</v>
      </c>
      <c r="O31" s="49" t="s">
        <v>261</v>
      </c>
      <c r="P31" s="49" t="s">
        <v>261</v>
      </c>
      <c r="Q31" s="49" t="s">
        <v>261</v>
      </c>
      <c r="R31" s="49" t="s">
        <v>261</v>
      </c>
      <c r="S31" s="49" t="s">
        <v>261</v>
      </c>
      <c r="T31" s="49" t="s">
        <v>261</v>
      </c>
      <c r="U31" s="49">
        <v>3800</v>
      </c>
      <c r="V31" s="49">
        <v>3800</v>
      </c>
    </row>
    <row r="32" spans="1:22" ht="15" customHeight="1" x14ac:dyDescent="0.25">
      <c r="A32" s="3" t="s">
        <v>17</v>
      </c>
      <c r="B32" s="1" t="s">
        <v>33</v>
      </c>
      <c r="C32" s="1" t="s">
        <v>19</v>
      </c>
      <c r="D32" s="1" t="s">
        <v>25</v>
      </c>
      <c r="E32" s="1" t="s">
        <v>34</v>
      </c>
      <c r="F32" s="49" t="s">
        <v>202</v>
      </c>
      <c r="G32" s="49">
        <v>10105.469999999999</v>
      </c>
      <c r="H32" s="49">
        <v>10105.469999999999</v>
      </c>
      <c r="I32" s="49">
        <v>7.53</v>
      </c>
      <c r="J32" s="49">
        <v>7.53</v>
      </c>
      <c r="K32" s="49" t="s">
        <v>261</v>
      </c>
      <c r="L32" s="49" t="s">
        <v>261</v>
      </c>
      <c r="M32" s="49" t="s">
        <v>261</v>
      </c>
      <c r="N32" s="49" t="s">
        <v>261</v>
      </c>
      <c r="O32" s="49" t="s">
        <v>261</v>
      </c>
      <c r="P32" s="49" t="s">
        <v>261</v>
      </c>
      <c r="Q32" s="49" t="s">
        <v>261</v>
      </c>
      <c r="R32" s="49" t="s">
        <v>261</v>
      </c>
      <c r="S32" s="49" t="s">
        <v>261</v>
      </c>
      <c r="T32" s="49" t="s">
        <v>261</v>
      </c>
      <c r="U32" s="49">
        <v>10113</v>
      </c>
      <c r="V32" s="49">
        <v>10113</v>
      </c>
    </row>
    <row r="33" spans="1:22" ht="15" customHeight="1" x14ac:dyDescent="0.25">
      <c r="A33" s="3" t="s">
        <v>17</v>
      </c>
      <c r="B33" s="1" t="s">
        <v>24</v>
      </c>
      <c r="C33" s="1" t="s">
        <v>19</v>
      </c>
      <c r="D33" s="1" t="s">
        <v>25</v>
      </c>
      <c r="E33" s="1" t="s">
        <v>26</v>
      </c>
      <c r="F33" s="49" t="s">
        <v>202</v>
      </c>
      <c r="G33" s="49">
        <v>15000</v>
      </c>
      <c r="H33" s="49">
        <v>15000</v>
      </c>
      <c r="I33" s="49" t="s">
        <v>261</v>
      </c>
      <c r="J33" s="49" t="s">
        <v>261</v>
      </c>
      <c r="K33" s="49" t="s">
        <v>261</v>
      </c>
      <c r="L33" s="49" t="s">
        <v>261</v>
      </c>
      <c r="M33" s="49" t="s">
        <v>261</v>
      </c>
      <c r="N33" s="49" t="s">
        <v>261</v>
      </c>
      <c r="O33" s="49" t="s">
        <v>261</v>
      </c>
      <c r="P33" s="49" t="s">
        <v>261</v>
      </c>
      <c r="Q33" s="49" t="s">
        <v>261</v>
      </c>
      <c r="R33" s="49" t="s">
        <v>261</v>
      </c>
      <c r="S33" s="49" t="s">
        <v>261</v>
      </c>
      <c r="T33" s="49" t="s">
        <v>261</v>
      </c>
      <c r="U33" s="49">
        <v>15000</v>
      </c>
      <c r="V33" s="49">
        <v>15000</v>
      </c>
    </row>
    <row r="34" spans="1:22" ht="15" customHeight="1" x14ac:dyDescent="0.25">
      <c r="A34" s="3" t="s">
        <v>17</v>
      </c>
      <c r="B34" s="1" t="s">
        <v>55</v>
      </c>
      <c r="C34" s="1" t="s">
        <v>56</v>
      </c>
      <c r="D34" s="1" t="s">
        <v>28</v>
      </c>
      <c r="E34" s="1" t="s">
        <v>57</v>
      </c>
      <c r="F34" s="49" t="s">
        <v>202</v>
      </c>
      <c r="G34" s="49">
        <v>3500</v>
      </c>
      <c r="H34" s="49">
        <v>3500</v>
      </c>
      <c r="I34" s="49" t="s">
        <v>261</v>
      </c>
      <c r="J34" s="49" t="s">
        <v>261</v>
      </c>
      <c r="K34" s="49" t="s">
        <v>261</v>
      </c>
      <c r="L34" s="49" t="s">
        <v>261</v>
      </c>
      <c r="M34" s="49" t="s">
        <v>261</v>
      </c>
      <c r="N34" s="49" t="s">
        <v>261</v>
      </c>
      <c r="O34" s="49" t="s">
        <v>261</v>
      </c>
      <c r="P34" s="49" t="s">
        <v>261</v>
      </c>
      <c r="Q34" s="49" t="s">
        <v>261</v>
      </c>
      <c r="R34" s="49" t="s">
        <v>261</v>
      </c>
      <c r="S34" s="49" t="s">
        <v>261</v>
      </c>
      <c r="T34" s="49" t="s">
        <v>261</v>
      </c>
      <c r="U34" s="49">
        <v>3500</v>
      </c>
      <c r="V34" s="49">
        <v>3500</v>
      </c>
    </row>
    <row r="35" spans="1:22" ht="15" customHeight="1" x14ac:dyDescent="0.25">
      <c r="A35" s="3" t="s">
        <v>17</v>
      </c>
      <c r="B35" s="1" t="s">
        <v>47</v>
      </c>
      <c r="C35" s="1" t="s">
        <v>48</v>
      </c>
      <c r="D35" s="1" t="s">
        <v>49</v>
      </c>
      <c r="E35" s="1" t="s">
        <v>50</v>
      </c>
      <c r="F35" s="49" t="s">
        <v>202</v>
      </c>
      <c r="G35" s="49">
        <v>3800</v>
      </c>
      <c r="H35" s="49">
        <v>3800</v>
      </c>
      <c r="I35" s="49" t="s">
        <v>261</v>
      </c>
      <c r="J35" s="49" t="s">
        <v>261</v>
      </c>
      <c r="K35" s="49" t="s">
        <v>261</v>
      </c>
      <c r="L35" s="49" t="s">
        <v>261</v>
      </c>
      <c r="M35" s="49" t="s">
        <v>261</v>
      </c>
      <c r="N35" s="49" t="s">
        <v>261</v>
      </c>
      <c r="O35" s="49" t="s">
        <v>261</v>
      </c>
      <c r="P35" s="49" t="s">
        <v>261</v>
      </c>
      <c r="Q35" s="49" t="s">
        <v>261</v>
      </c>
      <c r="R35" s="49" t="s">
        <v>261</v>
      </c>
      <c r="S35" s="49" t="s">
        <v>261</v>
      </c>
      <c r="T35" s="49" t="s">
        <v>261</v>
      </c>
      <c r="U35" s="49">
        <v>3800</v>
      </c>
      <c r="V35" s="49">
        <v>3800</v>
      </c>
    </row>
    <row r="36" spans="1:22" ht="15" customHeight="1" x14ac:dyDescent="0.25">
      <c r="A36" s="3" t="s">
        <v>17</v>
      </c>
      <c r="B36" s="1" t="s">
        <v>58</v>
      </c>
      <c r="C36" s="1" t="s">
        <v>49</v>
      </c>
      <c r="D36" s="1" t="s">
        <v>59</v>
      </c>
      <c r="E36" s="1" t="s">
        <v>60</v>
      </c>
      <c r="F36" s="49" t="s">
        <v>202</v>
      </c>
      <c r="G36" s="49">
        <v>3800</v>
      </c>
      <c r="H36" s="49">
        <v>3800</v>
      </c>
      <c r="I36" s="49">
        <v>113</v>
      </c>
      <c r="J36" s="49">
        <v>113</v>
      </c>
      <c r="K36" s="49" t="s">
        <v>261</v>
      </c>
      <c r="L36" s="49" t="s">
        <v>261</v>
      </c>
      <c r="M36" s="49" t="s">
        <v>261</v>
      </c>
      <c r="N36" s="49" t="s">
        <v>261</v>
      </c>
      <c r="O36" s="49" t="s">
        <v>261</v>
      </c>
      <c r="P36" s="49" t="s">
        <v>261</v>
      </c>
      <c r="Q36" s="49" t="s">
        <v>261</v>
      </c>
      <c r="R36" s="49" t="s">
        <v>261</v>
      </c>
      <c r="S36" s="49" t="s">
        <v>261</v>
      </c>
      <c r="T36" s="49" t="s">
        <v>261</v>
      </c>
      <c r="U36" s="49">
        <v>3913</v>
      </c>
      <c r="V36" s="49">
        <v>3913</v>
      </c>
    </row>
    <row r="37" spans="1:22" ht="15" customHeight="1" x14ac:dyDescent="0.25">
      <c r="A37" s="3" t="s">
        <v>17</v>
      </c>
      <c r="B37" s="1" t="s">
        <v>35</v>
      </c>
      <c r="C37" s="1" t="s">
        <v>36</v>
      </c>
      <c r="D37" s="1" t="s">
        <v>37</v>
      </c>
      <c r="E37" s="1" t="s">
        <v>38</v>
      </c>
      <c r="F37" s="49" t="s">
        <v>202</v>
      </c>
      <c r="G37" s="49">
        <v>2703.77</v>
      </c>
      <c r="H37" s="49">
        <v>2703.77</v>
      </c>
      <c r="I37" s="49">
        <v>109.23</v>
      </c>
      <c r="J37" s="49">
        <v>109.23</v>
      </c>
      <c r="K37" s="49" t="s">
        <v>261</v>
      </c>
      <c r="L37" s="49" t="s">
        <v>261</v>
      </c>
      <c r="M37" s="49" t="s">
        <v>261</v>
      </c>
      <c r="N37" s="49" t="s">
        <v>261</v>
      </c>
      <c r="O37" s="49" t="s">
        <v>261</v>
      </c>
      <c r="P37" s="49" t="s">
        <v>261</v>
      </c>
      <c r="Q37" s="49" t="s">
        <v>261</v>
      </c>
      <c r="R37" s="49" t="s">
        <v>261</v>
      </c>
      <c r="S37" s="49" t="s">
        <v>261</v>
      </c>
      <c r="T37" s="49" t="s">
        <v>261</v>
      </c>
      <c r="U37" s="49">
        <v>2813</v>
      </c>
      <c r="V37" s="49">
        <v>2813</v>
      </c>
    </row>
    <row r="38" spans="1:22" ht="15" customHeight="1" x14ac:dyDescent="0.25">
      <c r="A38" s="3" t="s">
        <v>17</v>
      </c>
      <c r="B38" s="1" t="s">
        <v>27</v>
      </c>
      <c r="C38" s="1" t="s">
        <v>28</v>
      </c>
      <c r="D38" s="1" t="s">
        <v>29</v>
      </c>
      <c r="E38" s="1" t="s">
        <v>30</v>
      </c>
      <c r="F38" s="49" t="s">
        <v>202</v>
      </c>
      <c r="G38" s="49">
        <v>3800</v>
      </c>
      <c r="H38" s="49">
        <v>3800</v>
      </c>
      <c r="I38" s="49">
        <v>113</v>
      </c>
      <c r="J38" s="49">
        <v>113</v>
      </c>
      <c r="K38" s="49" t="s">
        <v>261</v>
      </c>
      <c r="L38" s="49" t="s">
        <v>261</v>
      </c>
      <c r="M38" s="49" t="s">
        <v>261</v>
      </c>
      <c r="N38" s="49" t="s">
        <v>261</v>
      </c>
      <c r="O38" s="49" t="s">
        <v>261</v>
      </c>
      <c r="P38" s="49" t="s">
        <v>261</v>
      </c>
      <c r="Q38" s="49" t="s">
        <v>261</v>
      </c>
      <c r="R38" s="49" t="s">
        <v>261</v>
      </c>
      <c r="S38" s="49" t="s">
        <v>261</v>
      </c>
      <c r="T38" s="49" t="s">
        <v>261</v>
      </c>
      <c r="U38" s="49">
        <v>3913</v>
      </c>
      <c r="V38" s="49">
        <v>3913</v>
      </c>
    </row>
    <row r="39" spans="1:22" ht="15" customHeight="1" x14ac:dyDescent="0.25">
      <c r="A39" s="3" t="s">
        <v>17</v>
      </c>
      <c r="B39" s="1" t="s">
        <v>39</v>
      </c>
      <c r="C39" s="1" t="s">
        <v>40</v>
      </c>
      <c r="D39" s="1" t="s">
        <v>41</v>
      </c>
      <c r="E39" s="1" t="s">
        <v>42</v>
      </c>
      <c r="F39" s="49" t="s">
        <v>202</v>
      </c>
      <c r="G39" s="49">
        <v>3200</v>
      </c>
      <c r="H39" s="49">
        <v>3200</v>
      </c>
      <c r="I39" s="49" t="s">
        <v>261</v>
      </c>
      <c r="J39" s="49" t="s">
        <v>261</v>
      </c>
      <c r="K39" s="49" t="s">
        <v>261</v>
      </c>
      <c r="L39" s="49" t="s">
        <v>261</v>
      </c>
      <c r="M39" s="49" t="s">
        <v>261</v>
      </c>
      <c r="N39" s="49" t="s">
        <v>261</v>
      </c>
      <c r="O39" s="49" t="s">
        <v>261</v>
      </c>
      <c r="P39" s="49" t="s">
        <v>261</v>
      </c>
      <c r="Q39" s="49" t="s">
        <v>261</v>
      </c>
      <c r="R39" s="49" t="s">
        <v>261</v>
      </c>
      <c r="S39" s="49" t="s">
        <v>261</v>
      </c>
      <c r="T39" s="49" t="s">
        <v>261</v>
      </c>
      <c r="U39" s="49">
        <v>3200</v>
      </c>
      <c r="V39" s="49">
        <v>3200</v>
      </c>
    </row>
    <row r="40" spans="1:22" ht="15" customHeight="1" x14ac:dyDescent="0.25">
      <c r="A40" s="3" t="s">
        <v>17</v>
      </c>
      <c r="B40" s="1" t="s">
        <v>43</v>
      </c>
      <c r="C40" s="1" t="s">
        <v>44</v>
      </c>
      <c r="D40" s="1" t="s">
        <v>45</v>
      </c>
      <c r="E40" s="1" t="s">
        <v>46</v>
      </c>
      <c r="F40" s="49" t="s">
        <v>202</v>
      </c>
      <c r="G40" s="49">
        <v>2905.47</v>
      </c>
      <c r="H40" s="49">
        <v>2905.47</v>
      </c>
      <c r="I40" s="49">
        <v>7.53</v>
      </c>
      <c r="J40" s="49">
        <v>7.53</v>
      </c>
      <c r="K40" s="49" t="s">
        <v>261</v>
      </c>
      <c r="L40" s="49" t="s">
        <v>261</v>
      </c>
      <c r="M40" s="49" t="s">
        <v>261</v>
      </c>
      <c r="N40" s="49" t="s">
        <v>261</v>
      </c>
      <c r="O40" s="49" t="s">
        <v>261</v>
      </c>
      <c r="P40" s="49" t="s">
        <v>261</v>
      </c>
      <c r="Q40" s="49" t="s">
        <v>261</v>
      </c>
      <c r="R40" s="49" t="s">
        <v>261</v>
      </c>
      <c r="S40" s="49" t="s">
        <v>261</v>
      </c>
      <c r="T40" s="49" t="s">
        <v>261</v>
      </c>
      <c r="U40" s="49">
        <v>2913</v>
      </c>
      <c r="V40" s="49">
        <v>2913</v>
      </c>
    </row>
    <row r="41" spans="1:22" ht="15" customHeight="1" x14ac:dyDescent="0.25">
      <c r="A41" s="3" t="s">
        <v>17</v>
      </c>
      <c r="B41" s="1" t="s">
        <v>72</v>
      </c>
      <c r="C41" s="1" t="s">
        <v>28</v>
      </c>
      <c r="D41" s="1" t="s">
        <v>73</v>
      </c>
      <c r="E41" s="1" t="s">
        <v>74</v>
      </c>
      <c r="F41" s="49" t="s">
        <v>202</v>
      </c>
      <c r="G41" s="49">
        <v>2500</v>
      </c>
      <c r="H41" s="49">
        <v>2500</v>
      </c>
      <c r="I41" s="49" t="s">
        <v>261</v>
      </c>
      <c r="J41" s="49" t="s">
        <v>261</v>
      </c>
      <c r="K41" s="49" t="s">
        <v>261</v>
      </c>
      <c r="L41" s="49" t="s">
        <v>261</v>
      </c>
      <c r="M41" s="49" t="s">
        <v>261</v>
      </c>
      <c r="N41" s="49" t="s">
        <v>261</v>
      </c>
      <c r="O41" s="49" t="s">
        <v>261</v>
      </c>
      <c r="P41" s="49" t="s">
        <v>261</v>
      </c>
      <c r="Q41" s="49" t="s">
        <v>261</v>
      </c>
      <c r="R41" s="49" t="s">
        <v>261</v>
      </c>
      <c r="S41" s="49" t="s">
        <v>261</v>
      </c>
      <c r="T41" s="49" t="s">
        <v>261</v>
      </c>
      <c r="U41" s="49">
        <v>2500</v>
      </c>
      <c r="V41" s="49">
        <v>2500</v>
      </c>
    </row>
    <row r="42" spans="1:22" ht="15" customHeight="1" x14ac:dyDescent="0.25">
      <c r="A42" s="3" t="s">
        <v>17</v>
      </c>
      <c r="B42" s="1" t="s">
        <v>51</v>
      </c>
      <c r="C42" s="1" t="s">
        <v>52</v>
      </c>
      <c r="D42" s="1" t="s">
        <v>53</v>
      </c>
      <c r="E42" s="1" t="s">
        <v>54</v>
      </c>
      <c r="F42" s="49" t="s">
        <v>202</v>
      </c>
      <c r="G42" s="49">
        <v>2700</v>
      </c>
      <c r="H42" s="49">
        <v>2700</v>
      </c>
      <c r="I42" s="49" t="s">
        <v>261</v>
      </c>
      <c r="J42" s="49" t="s">
        <v>261</v>
      </c>
      <c r="K42" s="49" t="s">
        <v>261</v>
      </c>
      <c r="L42" s="49" t="s">
        <v>261</v>
      </c>
      <c r="M42" s="49" t="s">
        <v>261</v>
      </c>
      <c r="N42" s="49" t="s">
        <v>261</v>
      </c>
      <c r="O42" s="49" t="s">
        <v>261</v>
      </c>
      <c r="P42" s="49" t="s">
        <v>261</v>
      </c>
      <c r="Q42" s="49" t="s">
        <v>261</v>
      </c>
      <c r="R42" s="49" t="s">
        <v>261</v>
      </c>
      <c r="S42" s="49" t="s">
        <v>261</v>
      </c>
      <c r="T42" s="49" t="s">
        <v>261</v>
      </c>
      <c r="U42" s="49">
        <v>2700</v>
      </c>
      <c r="V42" s="49">
        <v>2700</v>
      </c>
    </row>
    <row r="43" spans="1:22" ht="15" customHeight="1" x14ac:dyDescent="0.25">
      <c r="A43" s="3" t="s">
        <v>17</v>
      </c>
      <c r="B43" s="1" t="s">
        <v>65</v>
      </c>
      <c r="C43" s="1" t="s">
        <v>66</v>
      </c>
      <c r="D43" s="1" t="s">
        <v>67</v>
      </c>
      <c r="E43" s="1" t="s">
        <v>38</v>
      </c>
      <c r="F43" s="49" t="s">
        <v>202</v>
      </c>
      <c r="G43" s="49">
        <v>3000</v>
      </c>
      <c r="H43" s="49">
        <v>3000</v>
      </c>
      <c r="I43" s="49">
        <v>113</v>
      </c>
      <c r="J43" s="49">
        <v>113</v>
      </c>
      <c r="K43" s="49" t="s">
        <v>261</v>
      </c>
      <c r="L43" s="49" t="s">
        <v>261</v>
      </c>
      <c r="M43" s="49" t="s">
        <v>261</v>
      </c>
      <c r="N43" s="49" t="s">
        <v>261</v>
      </c>
      <c r="O43" s="49" t="s">
        <v>261</v>
      </c>
      <c r="P43" s="49" t="s">
        <v>261</v>
      </c>
      <c r="Q43" s="49" t="s">
        <v>261</v>
      </c>
      <c r="R43" s="49" t="s">
        <v>261</v>
      </c>
      <c r="S43" s="49" t="s">
        <v>261</v>
      </c>
      <c r="T43" s="49" t="s">
        <v>261</v>
      </c>
      <c r="U43" s="49">
        <v>3113</v>
      </c>
      <c r="V43" s="49">
        <v>3113</v>
      </c>
    </row>
    <row r="44" spans="1:22" ht="15" customHeight="1" x14ac:dyDescent="0.25">
      <c r="A44" s="3" t="s">
        <v>17</v>
      </c>
      <c r="B44" s="1" t="s">
        <v>61</v>
      </c>
      <c r="C44" s="1" t="s">
        <v>62</v>
      </c>
      <c r="D44" s="1" t="s">
        <v>63</v>
      </c>
      <c r="E44" s="1" t="s">
        <v>64</v>
      </c>
      <c r="F44" s="49" t="s">
        <v>202</v>
      </c>
      <c r="G44" s="49">
        <v>3200</v>
      </c>
      <c r="H44" s="49">
        <v>3200</v>
      </c>
      <c r="I44" s="49" t="s">
        <v>261</v>
      </c>
      <c r="J44" s="49" t="s">
        <v>261</v>
      </c>
      <c r="K44" s="49" t="s">
        <v>261</v>
      </c>
      <c r="L44" s="49" t="s">
        <v>261</v>
      </c>
      <c r="M44" s="49" t="s">
        <v>261</v>
      </c>
      <c r="N44" s="49" t="s">
        <v>261</v>
      </c>
      <c r="O44" s="49" t="s">
        <v>261</v>
      </c>
      <c r="P44" s="49" t="s">
        <v>261</v>
      </c>
      <c r="Q44" s="49" t="s">
        <v>261</v>
      </c>
      <c r="R44" s="49" t="s">
        <v>261</v>
      </c>
      <c r="S44" s="49" t="s">
        <v>261</v>
      </c>
      <c r="T44" s="49" t="s">
        <v>261</v>
      </c>
      <c r="U44" s="49">
        <v>3200</v>
      </c>
      <c r="V44" s="49">
        <v>3200</v>
      </c>
    </row>
    <row r="45" spans="1:22" ht="15" customHeight="1" x14ac:dyDescent="0.25">
      <c r="A45" s="3" t="s">
        <v>17</v>
      </c>
      <c r="B45" s="1" t="s">
        <v>68</v>
      </c>
      <c r="C45" s="1" t="s">
        <v>69</v>
      </c>
      <c r="D45" s="1" t="s">
        <v>70</v>
      </c>
      <c r="E45" s="1" t="s">
        <v>71</v>
      </c>
      <c r="F45" s="49" t="s">
        <v>202</v>
      </c>
      <c r="G45" s="49">
        <v>2500</v>
      </c>
      <c r="H45" s="49">
        <v>2500</v>
      </c>
      <c r="I45" s="49" t="s">
        <v>261</v>
      </c>
      <c r="J45" s="49" t="s">
        <v>261</v>
      </c>
      <c r="K45" s="49" t="s">
        <v>261</v>
      </c>
      <c r="L45" s="49" t="s">
        <v>261</v>
      </c>
      <c r="M45" s="49" t="s">
        <v>261</v>
      </c>
      <c r="N45" s="49" t="s">
        <v>261</v>
      </c>
      <c r="O45" s="49" t="s">
        <v>261</v>
      </c>
      <c r="P45" s="49" t="s">
        <v>261</v>
      </c>
      <c r="Q45" s="49" t="s">
        <v>261</v>
      </c>
      <c r="R45" s="49" t="s">
        <v>261</v>
      </c>
      <c r="S45" s="49" t="s">
        <v>261</v>
      </c>
      <c r="T45" s="49" t="s">
        <v>261</v>
      </c>
      <c r="U45" s="49">
        <v>2500</v>
      </c>
      <c r="V45" s="49">
        <v>2500</v>
      </c>
    </row>
    <row r="46" spans="1:22" ht="15" customHeight="1" x14ac:dyDescent="0.25">
      <c r="G46" s="89">
        <f t="shared" ref="G46:V46" si="1">SUM(G31:G45)</f>
        <v>66514.709999999992</v>
      </c>
      <c r="H46" s="89">
        <f t="shared" si="1"/>
        <v>66514.709999999992</v>
      </c>
      <c r="I46" s="89">
        <f t="shared" si="1"/>
        <v>463.28999999999996</v>
      </c>
      <c r="J46" s="89">
        <f t="shared" si="1"/>
        <v>463.28999999999996</v>
      </c>
      <c r="K46" s="89">
        <f t="shared" si="1"/>
        <v>0</v>
      </c>
      <c r="L46" s="89">
        <f t="shared" si="1"/>
        <v>0</v>
      </c>
      <c r="M46" s="89">
        <f t="shared" si="1"/>
        <v>0</v>
      </c>
      <c r="N46" s="89">
        <f t="shared" si="1"/>
        <v>0</v>
      </c>
      <c r="O46" s="89">
        <f t="shared" si="1"/>
        <v>0</v>
      </c>
      <c r="P46" s="89">
        <f t="shared" si="1"/>
        <v>0</v>
      </c>
      <c r="Q46" s="89">
        <f t="shared" si="1"/>
        <v>0</v>
      </c>
      <c r="R46" s="89">
        <f t="shared" si="1"/>
        <v>0</v>
      </c>
      <c r="S46" s="89">
        <f t="shared" si="1"/>
        <v>0</v>
      </c>
      <c r="T46" s="89">
        <f t="shared" si="1"/>
        <v>0</v>
      </c>
      <c r="U46" s="89">
        <f t="shared" si="1"/>
        <v>66978</v>
      </c>
      <c r="V46" s="89">
        <f t="shared" si="1"/>
        <v>66978</v>
      </c>
    </row>
    <row r="48" spans="1:22" ht="15" customHeight="1" x14ac:dyDescent="0.25">
      <c r="A48" s="90">
        <v>45717</v>
      </c>
    </row>
    <row r="49" spans="1:23" ht="15" customHeight="1" x14ac:dyDescent="0.25">
      <c r="A49" s="3" t="s">
        <v>17</v>
      </c>
      <c r="B49" s="1" t="s">
        <v>18</v>
      </c>
      <c r="C49" s="1" t="s">
        <v>19</v>
      </c>
      <c r="D49" s="1" t="s">
        <v>20</v>
      </c>
      <c r="E49" s="1" t="s">
        <v>21</v>
      </c>
      <c r="F49" s="49" t="s">
        <v>202</v>
      </c>
      <c r="G49" s="49">
        <v>3800</v>
      </c>
      <c r="H49" s="49">
        <v>3800</v>
      </c>
      <c r="I49" s="49" t="s">
        <v>261</v>
      </c>
      <c r="J49" s="49" t="s">
        <v>261</v>
      </c>
      <c r="K49" s="49" t="s">
        <v>261</v>
      </c>
      <c r="L49" s="49" t="s">
        <v>261</v>
      </c>
      <c r="M49" s="49" t="s">
        <v>261</v>
      </c>
      <c r="N49" s="49" t="s">
        <v>261</v>
      </c>
      <c r="O49" s="49">
        <v>3842.94</v>
      </c>
      <c r="P49" s="49">
        <v>3842.94</v>
      </c>
      <c r="Q49" s="49" t="s">
        <v>261</v>
      </c>
      <c r="R49" s="49" t="s">
        <v>261</v>
      </c>
      <c r="S49" s="49" t="s">
        <v>261</v>
      </c>
      <c r="T49" s="49" t="s">
        <v>261</v>
      </c>
      <c r="U49" s="49">
        <v>3799.9999999999995</v>
      </c>
      <c r="V49" s="49">
        <v>3799.9999999999995</v>
      </c>
      <c r="W49" s="49"/>
    </row>
    <row r="50" spans="1:23" ht="15" customHeight="1" x14ac:dyDescent="0.25">
      <c r="A50" s="3" t="s">
        <v>17</v>
      </c>
      <c r="B50" s="1" t="s">
        <v>33</v>
      </c>
      <c r="C50" s="1" t="s">
        <v>19</v>
      </c>
      <c r="D50" s="1" t="s">
        <v>25</v>
      </c>
      <c r="E50" s="1" t="s">
        <v>34</v>
      </c>
      <c r="F50" s="49" t="s">
        <v>202</v>
      </c>
      <c r="G50" s="49">
        <v>10000</v>
      </c>
      <c r="H50" s="49">
        <v>10000</v>
      </c>
      <c r="I50" s="49">
        <v>113</v>
      </c>
      <c r="J50" s="49">
        <v>113</v>
      </c>
      <c r="K50" s="49" t="s">
        <v>261</v>
      </c>
      <c r="L50" s="49" t="s">
        <v>261</v>
      </c>
      <c r="M50" s="49" t="s">
        <v>261</v>
      </c>
      <c r="N50" s="49" t="s">
        <v>261</v>
      </c>
      <c r="O50" s="49">
        <v>5903.8</v>
      </c>
      <c r="P50" s="49">
        <v>5903.8</v>
      </c>
      <c r="Q50" s="49" t="s">
        <v>261</v>
      </c>
      <c r="R50" s="49" t="s">
        <v>261</v>
      </c>
      <c r="S50" s="49" t="s">
        <v>261</v>
      </c>
      <c r="T50" s="49" t="s">
        <v>261</v>
      </c>
      <c r="U50" s="49">
        <v>10113</v>
      </c>
      <c r="V50" s="49">
        <v>10113</v>
      </c>
      <c r="W50" s="49"/>
    </row>
    <row r="51" spans="1:23" ht="15" customHeight="1" x14ac:dyDescent="0.25">
      <c r="A51" s="3" t="s">
        <v>17</v>
      </c>
      <c r="B51" s="1" t="s">
        <v>24</v>
      </c>
      <c r="C51" s="1" t="s">
        <v>19</v>
      </c>
      <c r="D51" s="1" t="s">
        <v>25</v>
      </c>
      <c r="E51" s="1" t="s">
        <v>26</v>
      </c>
      <c r="F51" s="49" t="s">
        <v>202</v>
      </c>
      <c r="G51" s="49">
        <v>15000</v>
      </c>
      <c r="H51" s="49">
        <v>15000</v>
      </c>
      <c r="I51" s="49" t="s">
        <v>261</v>
      </c>
      <c r="J51" s="49" t="s">
        <v>261</v>
      </c>
      <c r="K51" s="49" t="s">
        <v>261</v>
      </c>
      <c r="L51" s="49" t="s">
        <v>261</v>
      </c>
      <c r="M51" s="49" t="s">
        <v>261</v>
      </c>
      <c r="N51" s="49" t="s">
        <v>261</v>
      </c>
      <c r="O51" s="49">
        <v>8268.7199999999993</v>
      </c>
      <c r="P51" s="49">
        <v>8268.7199999999993</v>
      </c>
      <c r="Q51" s="49" t="s">
        <v>261</v>
      </c>
      <c r="R51" s="49" t="s">
        <v>261</v>
      </c>
      <c r="S51" s="49" t="s">
        <v>261</v>
      </c>
      <c r="T51" s="49" t="s">
        <v>261</v>
      </c>
      <c r="U51" s="49">
        <v>15000.000000000002</v>
      </c>
      <c r="V51" s="49">
        <v>15000.000000000002</v>
      </c>
      <c r="W51" s="49"/>
    </row>
    <row r="52" spans="1:23" ht="15" customHeight="1" x14ac:dyDescent="0.25">
      <c r="A52" s="3" t="s">
        <v>17</v>
      </c>
      <c r="B52" s="1" t="s">
        <v>55</v>
      </c>
      <c r="C52" s="1" t="s">
        <v>56</v>
      </c>
      <c r="D52" s="1" t="s">
        <v>28</v>
      </c>
      <c r="E52" s="1" t="s">
        <v>57</v>
      </c>
      <c r="F52" s="49" t="s">
        <v>202</v>
      </c>
      <c r="G52" s="49">
        <v>3500</v>
      </c>
      <c r="H52" s="49">
        <v>3500</v>
      </c>
      <c r="I52" s="49" t="s">
        <v>261</v>
      </c>
      <c r="J52" s="49" t="s">
        <v>261</v>
      </c>
      <c r="K52" s="49" t="s">
        <v>261</v>
      </c>
      <c r="L52" s="49" t="s">
        <v>261</v>
      </c>
      <c r="M52" s="49" t="s">
        <v>261</v>
      </c>
      <c r="N52" s="49" t="s">
        <v>261</v>
      </c>
      <c r="O52" s="49">
        <v>3654.05</v>
      </c>
      <c r="P52" s="49">
        <v>3654.05</v>
      </c>
      <c r="Q52" s="49" t="s">
        <v>261</v>
      </c>
      <c r="R52" s="49" t="s">
        <v>261</v>
      </c>
      <c r="S52" s="49" t="s">
        <v>261</v>
      </c>
      <c r="T52" s="49" t="s">
        <v>261</v>
      </c>
      <c r="U52" s="49">
        <v>3500</v>
      </c>
      <c r="V52" s="49">
        <v>3500</v>
      </c>
      <c r="W52" s="49"/>
    </row>
    <row r="53" spans="1:23" ht="15" customHeight="1" x14ac:dyDescent="0.25">
      <c r="A53" s="3" t="s">
        <v>17</v>
      </c>
      <c r="B53" s="1" t="s">
        <v>47</v>
      </c>
      <c r="C53" s="1" t="s">
        <v>48</v>
      </c>
      <c r="D53" s="1" t="s">
        <v>49</v>
      </c>
      <c r="E53" s="1" t="s">
        <v>50</v>
      </c>
      <c r="F53" s="49" t="s">
        <v>202</v>
      </c>
      <c r="G53" s="49">
        <v>3800</v>
      </c>
      <c r="H53" s="49">
        <v>3800</v>
      </c>
      <c r="I53" s="49" t="s">
        <v>261</v>
      </c>
      <c r="J53" s="49" t="s">
        <v>261</v>
      </c>
      <c r="K53" s="49" t="s">
        <v>261</v>
      </c>
      <c r="L53" s="49" t="s">
        <v>261</v>
      </c>
      <c r="M53" s="49" t="s">
        <v>261</v>
      </c>
      <c r="N53" s="49" t="s">
        <v>261</v>
      </c>
      <c r="O53" s="49">
        <v>3937.76</v>
      </c>
      <c r="P53" s="49">
        <v>3937.76</v>
      </c>
      <c r="Q53" s="49" t="s">
        <v>261</v>
      </c>
      <c r="R53" s="49" t="s">
        <v>261</v>
      </c>
      <c r="S53" s="49" t="s">
        <v>261</v>
      </c>
      <c r="T53" s="49" t="s">
        <v>261</v>
      </c>
      <c r="U53" s="49">
        <v>3800</v>
      </c>
      <c r="V53" s="49">
        <v>3800</v>
      </c>
      <c r="W53" s="49"/>
    </row>
    <row r="54" spans="1:23" ht="15" customHeight="1" x14ac:dyDescent="0.25">
      <c r="A54" s="3" t="s">
        <v>17</v>
      </c>
      <c r="B54" s="1" t="s">
        <v>58</v>
      </c>
      <c r="C54" s="1" t="s">
        <v>49</v>
      </c>
      <c r="D54" s="1" t="s">
        <v>59</v>
      </c>
      <c r="E54" s="1" t="s">
        <v>60</v>
      </c>
      <c r="F54" s="49" t="s">
        <v>202</v>
      </c>
      <c r="G54" s="49">
        <v>3800</v>
      </c>
      <c r="H54" s="49">
        <v>3800</v>
      </c>
      <c r="I54" s="49">
        <v>113</v>
      </c>
      <c r="J54" s="49">
        <v>113</v>
      </c>
      <c r="K54" s="49" t="s">
        <v>261</v>
      </c>
      <c r="L54" s="49" t="s">
        <v>261</v>
      </c>
      <c r="M54" s="49" t="s">
        <v>261</v>
      </c>
      <c r="N54" s="49" t="s">
        <v>261</v>
      </c>
      <c r="O54" s="49">
        <v>3853.34</v>
      </c>
      <c r="P54" s="49">
        <v>3853.34</v>
      </c>
      <c r="Q54" s="49" t="s">
        <v>261</v>
      </c>
      <c r="R54" s="49" t="s">
        <v>261</v>
      </c>
      <c r="S54" s="49" t="s">
        <v>261</v>
      </c>
      <c r="T54" s="49" t="s">
        <v>261</v>
      </c>
      <c r="U54" s="49">
        <v>3913</v>
      </c>
      <c r="V54" s="49">
        <v>3913</v>
      </c>
      <c r="W54" s="49"/>
    </row>
    <row r="55" spans="1:23" ht="15" customHeight="1" x14ac:dyDescent="0.25">
      <c r="A55" s="3" t="s">
        <v>17</v>
      </c>
      <c r="B55" s="1" t="s">
        <v>35</v>
      </c>
      <c r="C55" s="1" t="s">
        <v>36</v>
      </c>
      <c r="D55" s="1" t="s">
        <v>37</v>
      </c>
      <c r="E55" s="1" t="s">
        <v>38</v>
      </c>
      <c r="F55" s="49" t="s">
        <v>202</v>
      </c>
      <c r="G55" s="49">
        <v>2700</v>
      </c>
      <c r="H55" s="49">
        <v>2700</v>
      </c>
      <c r="I55" s="49">
        <v>113</v>
      </c>
      <c r="J55" s="49">
        <v>113</v>
      </c>
      <c r="K55" s="49" t="s">
        <v>261</v>
      </c>
      <c r="L55" s="49" t="s">
        <v>261</v>
      </c>
      <c r="M55" s="49" t="s">
        <v>261</v>
      </c>
      <c r="N55" s="49" t="s">
        <v>261</v>
      </c>
      <c r="O55" s="49">
        <v>3310.15</v>
      </c>
      <c r="P55" s="49">
        <v>3310.15</v>
      </c>
      <c r="Q55" s="49" t="s">
        <v>261</v>
      </c>
      <c r="R55" s="49" t="s">
        <v>261</v>
      </c>
      <c r="S55" s="49" t="s">
        <v>261</v>
      </c>
      <c r="T55" s="49" t="s">
        <v>261</v>
      </c>
      <c r="U55" s="49">
        <v>2812.9999999999995</v>
      </c>
      <c r="V55" s="49">
        <v>2812.9999999999995</v>
      </c>
      <c r="W55" s="49"/>
    </row>
    <row r="56" spans="1:23" ht="15" customHeight="1" x14ac:dyDescent="0.25">
      <c r="A56" s="3" t="s">
        <v>17</v>
      </c>
      <c r="B56" s="1" t="s">
        <v>27</v>
      </c>
      <c r="C56" s="1" t="s">
        <v>28</v>
      </c>
      <c r="D56" s="1" t="s">
        <v>29</v>
      </c>
      <c r="E56" s="1" t="s">
        <v>30</v>
      </c>
      <c r="F56" s="49" t="s">
        <v>202</v>
      </c>
      <c r="G56" s="49">
        <v>3673.33</v>
      </c>
      <c r="H56" s="49">
        <v>3673.33</v>
      </c>
      <c r="I56" s="49">
        <v>113</v>
      </c>
      <c r="J56" s="49">
        <v>113</v>
      </c>
      <c r="K56" s="49" t="s">
        <v>261</v>
      </c>
      <c r="L56" s="49" t="s">
        <v>261</v>
      </c>
      <c r="M56" s="49" t="s">
        <v>261</v>
      </c>
      <c r="N56" s="49" t="s">
        <v>261</v>
      </c>
      <c r="O56" s="49">
        <v>3960.98</v>
      </c>
      <c r="P56" s="49">
        <v>3960.98</v>
      </c>
      <c r="Q56" s="49">
        <v>126.67</v>
      </c>
      <c r="R56" s="49">
        <v>126.67</v>
      </c>
      <c r="S56" s="49" t="s">
        <v>261</v>
      </c>
      <c r="T56" s="49" t="s">
        <v>261</v>
      </c>
      <c r="U56" s="49">
        <v>3912.9999999999995</v>
      </c>
      <c r="V56" s="49">
        <v>3912.9999999999995</v>
      </c>
      <c r="W56" s="49"/>
    </row>
    <row r="57" spans="1:23" ht="15" customHeight="1" x14ac:dyDescent="0.25">
      <c r="A57" s="3" t="s">
        <v>17</v>
      </c>
      <c r="B57" s="1" t="s">
        <v>39</v>
      </c>
      <c r="C57" s="1" t="s">
        <v>40</v>
      </c>
      <c r="D57" s="1" t="s">
        <v>41</v>
      </c>
      <c r="E57" s="1" t="s">
        <v>42</v>
      </c>
      <c r="F57" s="49" t="s">
        <v>202</v>
      </c>
      <c r="G57" s="49">
        <v>3200</v>
      </c>
      <c r="H57" s="49">
        <v>3200</v>
      </c>
      <c r="I57" s="49" t="s">
        <v>261</v>
      </c>
      <c r="J57" s="49" t="s">
        <v>261</v>
      </c>
      <c r="K57" s="49" t="s">
        <v>261</v>
      </c>
      <c r="L57" s="49" t="s">
        <v>261</v>
      </c>
      <c r="M57" s="49" t="s">
        <v>261</v>
      </c>
      <c r="N57" s="49" t="s">
        <v>261</v>
      </c>
      <c r="O57" s="49">
        <v>3333.09</v>
      </c>
      <c r="P57" s="49">
        <v>3333.09</v>
      </c>
      <c r="Q57" s="49" t="s">
        <v>261</v>
      </c>
      <c r="R57" s="49" t="s">
        <v>261</v>
      </c>
      <c r="S57" s="49" t="s">
        <v>261</v>
      </c>
      <c r="T57" s="49" t="s">
        <v>261</v>
      </c>
      <c r="U57" s="49">
        <v>3200</v>
      </c>
      <c r="V57" s="49">
        <v>3200</v>
      </c>
      <c r="W57" s="49"/>
    </row>
    <row r="58" spans="1:23" ht="15" customHeight="1" x14ac:dyDescent="0.25">
      <c r="A58" s="3" t="s">
        <v>17</v>
      </c>
      <c r="B58" s="1" t="s">
        <v>43</v>
      </c>
      <c r="C58" s="1" t="s">
        <v>44</v>
      </c>
      <c r="D58" s="1" t="s">
        <v>45</v>
      </c>
      <c r="E58" s="1" t="s">
        <v>46</v>
      </c>
      <c r="F58" s="49" t="s">
        <v>202</v>
      </c>
      <c r="G58" s="49">
        <v>2800</v>
      </c>
      <c r="H58" s="49">
        <v>2800</v>
      </c>
      <c r="I58" s="49">
        <v>113</v>
      </c>
      <c r="J58" s="49">
        <v>113</v>
      </c>
      <c r="K58" s="49" t="s">
        <v>261</v>
      </c>
      <c r="L58" s="49" t="s">
        <v>261</v>
      </c>
      <c r="M58" s="49" t="s">
        <v>261</v>
      </c>
      <c r="N58" s="49" t="s">
        <v>261</v>
      </c>
      <c r="O58" s="49">
        <v>3335.59</v>
      </c>
      <c r="P58" s="49">
        <v>3335.59</v>
      </c>
      <c r="Q58" s="49" t="s">
        <v>261</v>
      </c>
      <c r="R58" s="49" t="s">
        <v>261</v>
      </c>
      <c r="S58" s="49" t="s">
        <v>261</v>
      </c>
      <c r="T58" s="49" t="s">
        <v>261</v>
      </c>
      <c r="U58" s="49">
        <v>2913</v>
      </c>
      <c r="V58" s="49">
        <v>2913</v>
      </c>
      <c r="W58" s="49"/>
    </row>
    <row r="59" spans="1:23" ht="15" customHeight="1" x14ac:dyDescent="0.25">
      <c r="A59" s="3" t="s">
        <v>17</v>
      </c>
      <c r="B59" s="1" t="s">
        <v>72</v>
      </c>
      <c r="C59" s="1" t="s">
        <v>28</v>
      </c>
      <c r="D59" s="1" t="s">
        <v>73</v>
      </c>
      <c r="E59" s="1" t="s">
        <v>74</v>
      </c>
      <c r="F59" s="49" t="s">
        <v>202</v>
      </c>
      <c r="G59" s="49">
        <v>2500</v>
      </c>
      <c r="H59" s="49">
        <v>2500</v>
      </c>
      <c r="I59" s="49" t="s">
        <v>261</v>
      </c>
      <c r="J59" s="49" t="s">
        <v>261</v>
      </c>
      <c r="K59" s="49" t="s">
        <v>261</v>
      </c>
      <c r="L59" s="49" t="s">
        <v>261</v>
      </c>
      <c r="M59" s="49" t="s">
        <v>261</v>
      </c>
      <c r="N59" s="49" t="s">
        <v>261</v>
      </c>
      <c r="O59" s="49">
        <v>3257.64</v>
      </c>
      <c r="P59" s="49">
        <v>3257.64</v>
      </c>
      <c r="Q59" s="49" t="s">
        <v>261</v>
      </c>
      <c r="R59" s="49" t="s">
        <v>261</v>
      </c>
      <c r="S59" s="49" t="s">
        <v>261</v>
      </c>
      <c r="T59" s="49" t="s">
        <v>261</v>
      </c>
      <c r="U59" s="49">
        <v>2500.0000000000005</v>
      </c>
      <c r="V59" s="49">
        <v>2500.0000000000005</v>
      </c>
      <c r="W59" s="49"/>
    </row>
    <row r="60" spans="1:23" ht="15" customHeight="1" x14ac:dyDescent="0.25">
      <c r="A60" s="3" t="s">
        <v>17</v>
      </c>
      <c r="B60" s="1" t="s">
        <v>51</v>
      </c>
      <c r="C60" s="1" t="s">
        <v>52</v>
      </c>
      <c r="D60" s="1" t="s">
        <v>53</v>
      </c>
      <c r="E60" s="1" t="s">
        <v>54</v>
      </c>
      <c r="F60" s="49" t="s">
        <v>202</v>
      </c>
      <c r="G60" s="49">
        <v>2700</v>
      </c>
      <c r="H60" s="49">
        <v>2700</v>
      </c>
      <c r="I60" s="49" t="s">
        <v>261</v>
      </c>
      <c r="J60" s="49" t="s">
        <v>261</v>
      </c>
      <c r="K60" s="49" t="s">
        <v>261</v>
      </c>
      <c r="L60" s="49" t="s">
        <v>261</v>
      </c>
      <c r="M60" s="49" t="s">
        <v>261</v>
      </c>
      <c r="N60" s="49" t="s">
        <v>261</v>
      </c>
      <c r="O60" s="49">
        <v>3446.23</v>
      </c>
      <c r="P60" s="49">
        <v>3446.23</v>
      </c>
      <c r="Q60" s="49" t="s">
        <v>261</v>
      </c>
      <c r="R60" s="49" t="s">
        <v>261</v>
      </c>
      <c r="S60" s="49" t="s">
        <v>261</v>
      </c>
      <c r="T60" s="49" t="s">
        <v>261</v>
      </c>
      <c r="U60" s="49">
        <v>2699.9999999999995</v>
      </c>
      <c r="V60" s="49">
        <v>2699.9999999999995</v>
      </c>
      <c r="W60" s="49"/>
    </row>
    <row r="61" spans="1:23" ht="15" customHeight="1" x14ac:dyDescent="0.25">
      <c r="A61" s="3" t="s">
        <v>17</v>
      </c>
      <c r="B61" s="1" t="s">
        <v>262</v>
      </c>
      <c r="C61" s="1" t="s">
        <v>263</v>
      </c>
      <c r="D61" s="1" t="s">
        <v>264</v>
      </c>
      <c r="E61" s="1" t="s">
        <v>265</v>
      </c>
      <c r="F61" s="49" t="s">
        <v>266</v>
      </c>
      <c r="G61" s="49">
        <v>0</v>
      </c>
      <c r="H61" s="49">
        <v>0</v>
      </c>
      <c r="I61" s="49" t="s">
        <v>261</v>
      </c>
      <c r="J61" s="49" t="s">
        <v>261</v>
      </c>
      <c r="K61" s="49" t="s">
        <v>261</v>
      </c>
      <c r="L61" s="49" t="s">
        <v>261</v>
      </c>
      <c r="M61" s="49" t="s">
        <v>261</v>
      </c>
      <c r="N61" s="49" t="s">
        <v>261</v>
      </c>
      <c r="O61" s="49">
        <v>316.3</v>
      </c>
      <c r="P61" s="49">
        <v>316.3</v>
      </c>
      <c r="Q61" s="49" t="s">
        <v>261</v>
      </c>
      <c r="R61" s="49" t="s">
        <v>261</v>
      </c>
      <c r="S61" s="49" t="s">
        <v>261</v>
      </c>
      <c r="T61" s="49" t="s">
        <v>261</v>
      </c>
      <c r="U61" s="49">
        <v>0</v>
      </c>
      <c r="V61" s="49">
        <v>0</v>
      </c>
      <c r="W61" s="49"/>
    </row>
    <row r="62" spans="1:23" ht="15" customHeight="1" x14ac:dyDescent="0.25">
      <c r="A62" s="3" t="s">
        <v>17</v>
      </c>
      <c r="B62" s="1" t="s">
        <v>65</v>
      </c>
      <c r="C62" s="1" t="s">
        <v>66</v>
      </c>
      <c r="D62" s="1" t="s">
        <v>67</v>
      </c>
      <c r="E62" s="1" t="s">
        <v>38</v>
      </c>
      <c r="F62" s="49" t="s">
        <v>202</v>
      </c>
      <c r="G62" s="49">
        <v>3000</v>
      </c>
      <c r="H62" s="49">
        <v>3000</v>
      </c>
      <c r="I62" s="49">
        <v>113</v>
      </c>
      <c r="J62" s="49">
        <v>113</v>
      </c>
      <c r="K62" s="49" t="s">
        <v>261</v>
      </c>
      <c r="L62" s="49" t="s">
        <v>261</v>
      </c>
      <c r="M62" s="49" t="s">
        <v>261</v>
      </c>
      <c r="N62" s="49" t="s">
        <v>261</v>
      </c>
      <c r="O62" s="49">
        <v>3449.54</v>
      </c>
      <c r="P62" s="49">
        <v>3449.54</v>
      </c>
      <c r="Q62" s="49" t="s">
        <v>261</v>
      </c>
      <c r="R62" s="49" t="s">
        <v>261</v>
      </c>
      <c r="S62" s="49" t="s">
        <v>261</v>
      </c>
      <c r="T62" s="49" t="s">
        <v>261</v>
      </c>
      <c r="U62" s="49">
        <v>3113</v>
      </c>
      <c r="V62" s="49">
        <v>3113</v>
      </c>
      <c r="W62" s="49"/>
    </row>
    <row r="63" spans="1:23" ht="15" customHeight="1" x14ac:dyDescent="0.25">
      <c r="A63" s="3" t="s">
        <v>17</v>
      </c>
      <c r="B63" s="1" t="s">
        <v>61</v>
      </c>
      <c r="C63" s="1" t="s">
        <v>62</v>
      </c>
      <c r="D63" s="1" t="s">
        <v>63</v>
      </c>
      <c r="E63" s="1" t="s">
        <v>64</v>
      </c>
      <c r="F63" s="49" t="s">
        <v>202</v>
      </c>
      <c r="G63" s="49">
        <v>3200</v>
      </c>
      <c r="H63" s="49">
        <v>3200</v>
      </c>
      <c r="I63" s="49" t="s">
        <v>261</v>
      </c>
      <c r="J63" s="49" t="s">
        <v>261</v>
      </c>
      <c r="K63" s="49" t="s">
        <v>261</v>
      </c>
      <c r="L63" s="49" t="s">
        <v>261</v>
      </c>
      <c r="M63" s="49" t="s">
        <v>261</v>
      </c>
      <c r="N63" s="49" t="s">
        <v>261</v>
      </c>
      <c r="O63" s="49">
        <v>3775.43</v>
      </c>
      <c r="P63" s="49">
        <v>3775.43</v>
      </c>
      <c r="Q63" s="49" t="s">
        <v>261</v>
      </c>
      <c r="R63" s="49" t="s">
        <v>261</v>
      </c>
      <c r="S63" s="49" t="s">
        <v>261</v>
      </c>
      <c r="T63" s="49" t="s">
        <v>261</v>
      </c>
      <c r="U63" s="49">
        <v>3200.0000000000005</v>
      </c>
      <c r="V63" s="49">
        <v>3200.0000000000005</v>
      </c>
      <c r="W63" s="49"/>
    </row>
    <row r="64" spans="1:23" ht="15" customHeight="1" x14ac:dyDescent="0.25">
      <c r="A64" s="3" t="s">
        <v>17</v>
      </c>
      <c r="B64" s="1" t="s">
        <v>68</v>
      </c>
      <c r="C64" s="1" t="s">
        <v>69</v>
      </c>
      <c r="D64" s="1" t="s">
        <v>70</v>
      </c>
      <c r="E64" s="1" t="s">
        <v>71</v>
      </c>
      <c r="F64" s="49" t="s">
        <v>202</v>
      </c>
      <c r="G64" s="49">
        <v>2500</v>
      </c>
      <c r="H64" s="49">
        <v>2500</v>
      </c>
      <c r="I64" s="49" t="s">
        <v>261</v>
      </c>
      <c r="J64" s="49" t="s">
        <v>261</v>
      </c>
      <c r="K64" s="49" t="s">
        <v>261</v>
      </c>
      <c r="L64" s="49" t="s">
        <v>261</v>
      </c>
      <c r="M64" s="49" t="s">
        <v>261</v>
      </c>
      <c r="N64" s="49" t="s">
        <v>261</v>
      </c>
      <c r="O64" s="49">
        <v>3229.56</v>
      </c>
      <c r="P64" s="49">
        <v>3229.56</v>
      </c>
      <c r="Q64" s="49" t="s">
        <v>261</v>
      </c>
      <c r="R64" s="49" t="s">
        <v>261</v>
      </c>
      <c r="S64" s="49" t="s">
        <v>261</v>
      </c>
      <c r="T64" s="49" t="s">
        <v>261</v>
      </c>
      <c r="U64" s="49">
        <v>2500.0000000000005</v>
      </c>
      <c r="V64" s="49">
        <v>2500.0000000000005</v>
      </c>
      <c r="W64" s="49"/>
    </row>
    <row r="65" spans="1:23" ht="15" customHeight="1" x14ac:dyDescent="0.25">
      <c r="G65" s="89">
        <f t="shared" ref="G65:V65" si="2">SUM(G49:G64)</f>
        <v>66173.33</v>
      </c>
      <c r="H65" s="89">
        <f t="shared" si="2"/>
        <v>66173.33</v>
      </c>
      <c r="I65" s="89">
        <f t="shared" si="2"/>
        <v>678</v>
      </c>
      <c r="J65" s="89">
        <f t="shared" si="2"/>
        <v>678</v>
      </c>
      <c r="K65" s="89">
        <f t="shared" si="2"/>
        <v>0</v>
      </c>
      <c r="L65" s="89">
        <f t="shared" si="2"/>
        <v>0</v>
      </c>
      <c r="M65" s="89">
        <f t="shared" si="2"/>
        <v>0</v>
      </c>
      <c r="N65" s="89">
        <f t="shared" si="2"/>
        <v>0</v>
      </c>
      <c r="O65" s="89">
        <f t="shared" si="2"/>
        <v>60875.12</v>
      </c>
      <c r="P65" s="89">
        <f t="shared" si="2"/>
        <v>60875.12</v>
      </c>
      <c r="Q65" s="89">
        <f t="shared" si="2"/>
        <v>126.67</v>
      </c>
      <c r="R65" s="89">
        <f t="shared" si="2"/>
        <v>126.67</v>
      </c>
      <c r="S65" s="89">
        <f t="shared" si="2"/>
        <v>0</v>
      </c>
      <c r="T65" s="89">
        <f t="shared" si="2"/>
        <v>0</v>
      </c>
      <c r="U65" s="89">
        <f t="shared" si="2"/>
        <v>66978</v>
      </c>
      <c r="V65" s="89">
        <f t="shared" si="2"/>
        <v>66978</v>
      </c>
      <c r="W65" s="49"/>
    </row>
    <row r="67" spans="1:23" ht="15" customHeight="1" x14ac:dyDescent="0.25">
      <c r="A67" s="91">
        <v>45748</v>
      </c>
    </row>
    <row r="68" spans="1:23" ht="15" customHeight="1" x14ac:dyDescent="0.25">
      <c r="A68" s="3" t="s">
        <v>17</v>
      </c>
      <c r="B68" s="1" t="s">
        <v>18</v>
      </c>
      <c r="C68" s="1" t="s">
        <v>19</v>
      </c>
      <c r="D68" s="1" t="s">
        <v>20</v>
      </c>
      <c r="E68" s="1" t="s">
        <v>21</v>
      </c>
      <c r="F68" s="49" t="s">
        <v>202</v>
      </c>
      <c r="G68" s="49">
        <v>3800</v>
      </c>
      <c r="H68" s="49">
        <v>3800</v>
      </c>
      <c r="I68" s="49" t="s">
        <v>261</v>
      </c>
      <c r="J68" s="49" t="s">
        <v>261</v>
      </c>
      <c r="K68" s="49" t="s">
        <v>261</v>
      </c>
      <c r="L68" s="49" t="s">
        <v>261</v>
      </c>
      <c r="M68" s="49" t="s">
        <v>261</v>
      </c>
      <c r="N68" s="49" t="s">
        <v>261</v>
      </c>
      <c r="O68" s="49" t="s">
        <v>261</v>
      </c>
      <c r="P68" s="49" t="s">
        <v>261</v>
      </c>
      <c r="Q68" s="49" t="s">
        <v>261</v>
      </c>
      <c r="R68" s="49" t="s">
        <v>261</v>
      </c>
      <c r="S68" s="49" t="s">
        <v>261</v>
      </c>
      <c r="T68" s="49" t="s">
        <v>261</v>
      </c>
      <c r="U68" s="49">
        <v>3800</v>
      </c>
      <c r="V68" s="49">
        <v>3800</v>
      </c>
      <c r="W68" s="49"/>
    </row>
    <row r="69" spans="1:23" ht="15" customHeight="1" x14ac:dyDescent="0.25">
      <c r="A69" s="3" t="s">
        <v>17</v>
      </c>
      <c r="B69" s="1" t="s">
        <v>33</v>
      </c>
      <c r="C69" s="1" t="s">
        <v>19</v>
      </c>
      <c r="D69" s="1" t="s">
        <v>25</v>
      </c>
      <c r="E69" s="1" t="s">
        <v>34</v>
      </c>
      <c r="F69" s="49" t="s">
        <v>202</v>
      </c>
      <c r="G69" s="49">
        <v>10000</v>
      </c>
      <c r="H69" s="49">
        <v>10000</v>
      </c>
      <c r="I69" s="49">
        <v>113</v>
      </c>
      <c r="J69" s="49">
        <v>113</v>
      </c>
      <c r="K69" s="49" t="s">
        <v>261</v>
      </c>
      <c r="L69" s="49" t="s">
        <v>261</v>
      </c>
      <c r="M69" s="49" t="s">
        <v>261</v>
      </c>
      <c r="N69" s="49" t="s">
        <v>261</v>
      </c>
      <c r="O69" s="49" t="s">
        <v>261</v>
      </c>
      <c r="P69" s="49" t="s">
        <v>261</v>
      </c>
      <c r="Q69" s="49" t="s">
        <v>261</v>
      </c>
      <c r="R69" s="49" t="s">
        <v>261</v>
      </c>
      <c r="S69" s="49" t="s">
        <v>261</v>
      </c>
      <c r="T69" s="49" t="s">
        <v>261</v>
      </c>
      <c r="U69" s="49">
        <v>10113</v>
      </c>
      <c r="V69" s="49">
        <v>10113</v>
      </c>
      <c r="W69" s="49"/>
    </row>
    <row r="70" spans="1:23" ht="15" customHeight="1" x14ac:dyDescent="0.25">
      <c r="A70" s="3" t="s">
        <v>17</v>
      </c>
      <c r="B70" s="1" t="s">
        <v>24</v>
      </c>
      <c r="C70" s="1" t="s">
        <v>19</v>
      </c>
      <c r="D70" s="1" t="s">
        <v>25</v>
      </c>
      <c r="E70" s="1" t="s">
        <v>26</v>
      </c>
      <c r="F70" s="49" t="s">
        <v>202</v>
      </c>
      <c r="G70" s="49">
        <v>15000</v>
      </c>
      <c r="H70" s="49">
        <v>15000</v>
      </c>
      <c r="I70" s="49" t="s">
        <v>261</v>
      </c>
      <c r="J70" s="49" t="s">
        <v>261</v>
      </c>
      <c r="K70" s="49" t="s">
        <v>261</v>
      </c>
      <c r="L70" s="49" t="s">
        <v>261</v>
      </c>
      <c r="M70" s="49" t="s">
        <v>261</v>
      </c>
      <c r="N70" s="49" t="s">
        <v>261</v>
      </c>
      <c r="O70" s="49" t="s">
        <v>261</v>
      </c>
      <c r="P70" s="49" t="s">
        <v>261</v>
      </c>
      <c r="Q70" s="49" t="s">
        <v>261</v>
      </c>
      <c r="R70" s="49" t="s">
        <v>261</v>
      </c>
      <c r="S70" s="49" t="s">
        <v>261</v>
      </c>
      <c r="T70" s="49" t="s">
        <v>261</v>
      </c>
      <c r="U70" s="49">
        <v>15000</v>
      </c>
      <c r="V70" s="49">
        <v>15000</v>
      </c>
      <c r="W70" s="49"/>
    </row>
    <row r="71" spans="1:23" ht="15" customHeight="1" x14ac:dyDescent="0.25">
      <c r="A71" s="3" t="s">
        <v>17</v>
      </c>
      <c r="B71" s="1" t="s">
        <v>55</v>
      </c>
      <c r="C71" s="1" t="s">
        <v>56</v>
      </c>
      <c r="D71" s="1" t="s">
        <v>28</v>
      </c>
      <c r="E71" s="1" t="s">
        <v>57</v>
      </c>
      <c r="F71" s="49" t="s">
        <v>202</v>
      </c>
      <c r="G71" s="49">
        <v>3500</v>
      </c>
      <c r="H71" s="49">
        <v>3500</v>
      </c>
      <c r="I71" s="49" t="s">
        <v>261</v>
      </c>
      <c r="J71" s="49" t="s">
        <v>261</v>
      </c>
      <c r="K71" s="49" t="s">
        <v>261</v>
      </c>
      <c r="L71" s="49" t="s">
        <v>261</v>
      </c>
      <c r="M71" s="49" t="s">
        <v>261</v>
      </c>
      <c r="N71" s="49" t="s">
        <v>261</v>
      </c>
      <c r="O71" s="49" t="s">
        <v>261</v>
      </c>
      <c r="P71" s="49" t="s">
        <v>261</v>
      </c>
      <c r="Q71" s="49" t="s">
        <v>261</v>
      </c>
      <c r="R71" s="49" t="s">
        <v>261</v>
      </c>
      <c r="S71" s="49" t="s">
        <v>261</v>
      </c>
      <c r="T71" s="49" t="s">
        <v>261</v>
      </c>
      <c r="U71" s="49">
        <v>3500</v>
      </c>
      <c r="V71" s="49">
        <v>3500</v>
      </c>
      <c r="W71" s="49"/>
    </row>
    <row r="72" spans="1:23" ht="15" customHeight="1" x14ac:dyDescent="0.25">
      <c r="A72" s="3" t="s">
        <v>17</v>
      </c>
      <c r="B72" s="1" t="s">
        <v>47</v>
      </c>
      <c r="C72" s="1" t="s">
        <v>48</v>
      </c>
      <c r="D72" s="1" t="s">
        <v>49</v>
      </c>
      <c r="E72" s="1" t="s">
        <v>50</v>
      </c>
      <c r="F72" s="49" t="s">
        <v>202</v>
      </c>
      <c r="G72" s="49">
        <v>3800</v>
      </c>
      <c r="H72" s="49">
        <v>3800</v>
      </c>
      <c r="I72" s="49" t="s">
        <v>261</v>
      </c>
      <c r="J72" s="49" t="s">
        <v>261</v>
      </c>
      <c r="K72" s="49" t="s">
        <v>261</v>
      </c>
      <c r="L72" s="49" t="s">
        <v>261</v>
      </c>
      <c r="M72" s="49" t="s">
        <v>261</v>
      </c>
      <c r="N72" s="49" t="s">
        <v>261</v>
      </c>
      <c r="O72" s="49" t="s">
        <v>261</v>
      </c>
      <c r="P72" s="49" t="s">
        <v>261</v>
      </c>
      <c r="Q72" s="49" t="s">
        <v>261</v>
      </c>
      <c r="R72" s="49" t="s">
        <v>261</v>
      </c>
      <c r="S72" s="49" t="s">
        <v>261</v>
      </c>
      <c r="T72" s="49" t="s">
        <v>261</v>
      </c>
      <c r="U72" s="49">
        <v>3800</v>
      </c>
      <c r="V72" s="49">
        <v>3800</v>
      </c>
      <c r="W72" s="49"/>
    </row>
    <row r="73" spans="1:23" ht="15" customHeight="1" x14ac:dyDescent="0.25">
      <c r="A73" s="3" t="s">
        <v>17</v>
      </c>
      <c r="B73" s="1" t="s">
        <v>58</v>
      </c>
      <c r="C73" s="1" t="s">
        <v>49</v>
      </c>
      <c r="D73" s="1" t="s">
        <v>59</v>
      </c>
      <c r="E73" s="1" t="s">
        <v>60</v>
      </c>
      <c r="F73" s="49" t="s">
        <v>202</v>
      </c>
      <c r="G73" s="49">
        <v>3546.67</v>
      </c>
      <c r="H73" s="49">
        <v>3546.67</v>
      </c>
      <c r="I73" s="49">
        <v>113</v>
      </c>
      <c r="J73" s="49">
        <v>113</v>
      </c>
      <c r="K73" s="49" t="s">
        <v>261</v>
      </c>
      <c r="L73" s="49" t="s">
        <v>261</v>
      </c>
      <c r="M73" s="49" t="s">
        <v>261</v>
      </c>
      <c r="N73" s="49" t="s">
        <v>261</v>
      </c>
      <c r="O73" s="49" t="s">
        <v>261</v>
      </c>
      <c r="P73" s="49" t="s">
        <v>261</v>
      </c>
      <c r="Q73" s="49">
        <v>253.33</v>
      </c>
      <c r="R73" s="49">
        <v>253.33</v>
      </c>
      <c r="S73" s="49" t="s">
        <v>261</v>
      </c>
      <c r="T73" s="49" t="s">
        <v>261</v>
      </c>
      <c r="U73" s="49">
        <v>3913</v>
      </c>
      <c r="V73" s="49">
        <v>3913</v>
      </c>
      <c r="W73" s="49"/>
    </row>
    <row r="74" spans="1:23" ht="15" customHeight="1" x14ac:dyDescent="0.25">
      <c r="A74" s="3" t="s">
        <v>17</v>
      </c>
      <c r="B74" s="1" t="s">
        <v>35</v>
      </c>
      <c r="C74" s="1" t="s">
        <v>36</v>
      </c>
      <c r="D74" s="1" t="s">
        <v>37</v>
      </c>
      <c r="E74" s="1" t="s">
        <v>38</v>
      </c>
      <c r="F74" s="49" t="s">
        <v>202</v>
      </c>
      <c r="G74" s="49">
        <v>2700</v>
      </c>
      <c r="H74" s="49">
        <v>2700</v>
      </c>
      <c r="I74" s="49">
        <v>113</v>
      </c>
      <c r="J74" s="49">
        <v>113</v>
      </c>
      <c r="K74" s="49" t="s">
        <v>261</v>
      </c>
      <c r="L74" s="49" t="s">
        <v>261</v>
      </c>
      <c r="M74" s="49" t="s">
        <v>261</v>
      </c>
      <c r="N74" s="49" t="s">
        <v>261</v>
      </c>
      <c r="O74" s="49" t="s">
        <v>261</v>
      </c>
      <c r="P74" s="49" t="s">
        <v>261</v>
      </c>
      <c r="Q74" s="49" t="s">
        <v>261</v>
      </c>
      <c r="R74" s="49" t="s">
        <v>261</v>
      </c>
      <c r="S74" s="49" t="s">
        <v>261</v>
      </c>
      <c r="T74" s="49" t="s">
        <v>261</v>
      </c>
      <c r="U74" s="49">
        <v>2813</v>
      </c>
      <c r="V74" s="49">
        <v>2813</v>
      </c>
      <c r="W74" s="49"/>
    </row>
    <row r="75" spans="1:23" ht="15" customHeight="1" x14ac:dyDescent="0.25">
      <c r="A75" s="3" t="s">
        <v>17</v>
      </c>
      <c r="B75" s="1" t="s">
        <v>27</v>
      </c>
      <c r="C75" s="1" t="s">
        <v>28</v>
      </c>
      <c r="D75" s="1" t="s">
        <v>29</v>
      </c>
      <c r="E75" s="1" t="s">
        <v>30</v>
      </c>
      <c r="F75" s="49" t="s">
        <v>202</v>
      </c>
      <c r="G75" s="49">
        <v>3800</v>
      </c>
      <c r="H75" s="49">
        <v>3800</v>
      </c>
      <c r="I75" s="49">
        <v>113</v>
      </c>
      <c r="J75" s="49">
        <v>113</v>
      </c>
      <c r="K75" s="49" t="s">
        <v>261</v>
      </c>
      <c r="L75" s="49" t="s">
        <v>261</v>
      </c>
      <c r="M75" s="49" t="s">
        <v>261</v>
      </c>
      <c r="N75" s="49" t="s">
        <v>261</v>
      </c>
      <c r="O75" s="49" t="s">
        <v>261</v>
      </c>
      <c r="P75" s="49" t="s">
        <v>261</v>
      </c>
      <c r="Q75" s="49" t="s">
        <v>261</v>
      </c>
      <c r="R75" s="49" t="s">
        <v>261</v>
      </c>
      <c r="S75" s="49" t="s">
        <v>261</v>
      </c>
      <c r="T75" s="49" t="s">
        <v>261</v>
      </c>
      <c r="U75" s="49">
        <v>3913</v>
      </c>
      <c r="V75" s="49">
        <v>3913</v>
      </c>
      <c r="W75" s="49"/>
    </row>
    <row r="76" spans="1:23" ht="15" customHeight="1" x14ac:dyDescent="0.25">
      <c r="A76" s="3" t="s">
        <v>17</v>
      </c>
      <c r="B76" s="1" t="s">
        <v>39</v>
      </c>
      <c r="C76" s="1" t="s">
        <v>40</v>
      </c>
      <c r="D76" s="1" t="s">
        <v>41</v>
      </c>
      <c r="E76" s="1" t="s">
        <v>42</v>
      </c>
      <c r="F76" s="49" t="s">
        <v>202</v>
      </c>
      <c r="G76" s="49">
        <v>3200</v>
      </c>
      <c r="H76" s="49">
        <v>3200</v>
      </c>
      <c r="I76" s="49" t="s">
        <v>261</v>
      </c>
      <c r="J76" s="49" t="s">
        <v>261</v>
      </c>
      <c r="K76" s="49" t="s">
        <v>261</v>
      </c>
      <c r="L76" s="49" t="s">
        <v>261</v>
      </c>
      <c r="M76" s="49" t="s">
        <v>261</v>
      </c>
      <c r="N76" s="49" t="s">
        <v>261</v>
      </c>
      <c r="O76" s="49" t="s">
        <v>261</v>
      </c>
      <c r="P76" s="49" t="s">
        <v>261</v>
      </c>
      <c r="Q76" s="49" t="s">
        <v>261</v>
      </c>
      <c r="R76" s="49" t="s">
        <v>261</v>
      </c>
      <c r="S76" s="49" t="s">
        <v>261</v>
      </c>
      <c r="T76" s="49" t="s">
        <v>261</v>
      </c>
      <c r="U76" s="49">
        <v>3200</v>
      </c>
      <c r="V76" s="49">
        <v>3200</v>
      </c>
      <c r="W76" s="49"/>
    </row>
    <row r="77" spans="1:23" ht="15" customHeight="1" x14ac:dyDescent="0.25">
      <c r="A77" s="3" t="s">
        <v>17</v>
      </c>
      <c r="B77" s="1" t="s">
        <v>43</v>
      </c>
      <c r="C77" s="1" t="s">
        <v>44</v>
      </c>
      <c r="D77" s="1" t="s">
        <v>45</v>
      </c>
      <c r="E77" s="1" t="s">
        <v>46</v>
      </c>
      <c r="F77" s="49" t="s">
        <v>202</v>
      </c>
      <c r="G77" s="49">
        <v>2613.33</v>
      </c>
      <c r="H77" s="49">
        <v>2613.33</v>
      </c>
      <c r="I77" s="49">
        <v>113</v>
      </c>
      <c r="J77" s="49">
        <v>113</v>
      </c>
      <c r="K77" s="49" t="s">
        <v>261</v>
      </c>
      <c r="L77" s="49" t="s">
        <v>261</v>
      </c>
      <c r="M77" s="49" t="s">
        <v>261</v>
      </c>
      <c r="N77" s="49" t="s">
        <v>261</v>
      </c>
      <c r="O77" s="49" t="s">
        <v>261</v>
      </c>
      <c r="P77" s="49" t="s">
        <v>261</v>
      </c>
      <c r="Q77" s="49">
        <v>186.67</v>
      </c>
      <c r="R77" s="49">
        <v>186.67</v>
      </c>
      <c r="S77" s="49" t="s">
        <v>261</v>
      </c>
      <c r="T77" s="49" t="s">
        <v>261</v>
      </c>
      <c r="U77" s="49">
        <v>2913</v>
      </c>
      <c r="V77" s="49">
        <v>2913</v>
      </c>
      <c r="W77" s="49"/>
    </row>
    <row r="78" spans="1:23" ht="15" customHeight="1" x14ac:dyDescent="0.25">
      <c r="A78" s="3" t="s">
        <v>17</v>
      </c>
      <c r="B78" s="1" t="s">
        <v>72</v>
      </c>
      <c r="C78" s="1" t="s">
        <v>28</v>
      </c>
      <c r="D78" s="1" t="s">
        <v>73</v>
      </c>
      <c r="E78" s="1" t="s">
        <v>74</v>
      </c>
      <c r="F78" s="49" t="s">
        <v>202</v>
      </c>
      <c r="G78" s="49">
        <v>2500</v>
      </c>
      <c r="H78" s="49">
        <v>2500</v>
      </c>
      <c r="I78" s="49" t="s">
        <v>261</v>
      </c>
      <c r="J78" s="49" t="s">
        <v>261</v>
      </c>
      <c r="K78" s="49" t="s">
        <v>261</v>
      </c>
      <c r="L78" s="49" t="s">
        <v>261</v>
      </c>
      <c r="M78" s="49" t="s">
        <v>261</v>
      </c>
      <c r="N78" s="49" t="s">
        <v>261</v>
      </c>
      <c r="O78" s="49" t="s">
        <v>261</v>
      </c>
      <c r="P78" s="49" t="s">
        <v>261</v>
      </c>
      <c r="Q78" s="49" t="s">
        <v>261</v>
      </c>
      <c r="R78" s="49" t="s">
        <v>261</v>
      </c>
      <c r="S78" s="49" t="s">
        <v>261</v>
      </c>
      <c r="T78" s="49" t="s">
        <v>261</v>
      </c>
      <c r="U78" s="49">
        <v>2500</v>
      </c>
      <c r="V78" s="49">
        <v>2500</v>
      </c>
      <c r="W78" s="49"/>
    </row>
    <row r="79" spans="1:23" ht="15" customHeight="1" x14ac:dyDescent="0.25">
      <c r="A79" s="3" t="s">
        <v>17</v>
      </c>
      <c r="B79" s="1" t="s">
        <v>51</v>
      </c>
      <c r="C79" s="1" t="s">
        <v>52</v>
      </c>
      <c r="D79" s="1" t="s">
        <v>53</v>
      </c>
      <c r="E79" s="1" t="s">
        <v>54</v>
      </c>
      <c r="F79" s="49" t="s">
        <v>202</v>
      </c>
      <c r="G79" s="49">
        <v>2700</v>
      </c>
      <c r="H79" s="49">
        <v>2700</v>
      </c>
      <c r="I79" s="49" t="s">
        <v>261</v>
      </c>
      <c r="J79" s="49" t="s">
        <v>261</v>
      </c>
      <c r="K79" s="49" t="s">
        <v>261</v>
      </c>
      <c r="L79" s="49" t="s">
        <v>261</v>
      </c>
      <c r="M79" s="49" t="s">
        <v>261</v>
      </c>
      <c r="N79" s="49" t="s">
        <v>261</v>
      </c>
      <c r="O79" s="49" t="s">
        <v>261</v>
      </c>
      <c r="P79" s="49" t="s">
        <v>261</v>
      </c>
      <c r="Q79" s="49" t="s">
        <v>261</v>
      </c>
      <c r="R79" s="49" t="s">
        <v>261</v>
      </c>
      <c r="S79" s="49" t="s">
        <v>261</v>
      </c>
      <c r="T79" s="49" t="s">
        <v>261</v>
      </c>
      <c r="U79" s="49">
        <v>2700</v>
      </c>
      <c r="V79" s="49">
        <v>2700</v>
      </c>
      <c r="W79" s="49"/>
    </row>
    <row r="80" spans="1:23" ht="15" customHeight="1" x14ac:dyDescent="0.25">
      <c r="A80" s="3" t="s">
        <v>17</v>
      </c>
      <c r="B80" s="1" t="s">
        <v>65</v>
      </c>
      <c r="C80" s="1" t="s">
        <v>66</v>
      </c>
      <c r="D80" s="1" t="s">
        <v>67</v>
      </c>
      <c r="E80" s="1" t="s">
        <v>38</v>
      </c>
      <c r="F80" s="49" t="s">
        <v>202</v>
      </c>
      <c r="G80" s="49">
        <v>3000</v>
      </c>
      <c r="H80" s="49">
        <v>3000</v>
      </c>
      <c r="I80" s="49">
        <v>113</v>
      </c>
      <c r="J80" s="49">
        <v>113</v>
      </c>
      <c r="K80" s="49" t="s">
        <v>261</v>
      </c>
      <c r="L80" s="49" t="s">
        <v>261</v>
      </c>
      <c r="M80" s="49" t="s">
        <v>261</v>
      </c>
      <c r="N80" s="49" t="s">
        <v>261</v>
      </c>
      <c r="O80" s="49" t="s">
        <v>261</v>
      </c>
      <c r="P80" s="49" t="s">
        <v>261</v>
      </c>
      <c r="Q80" s="49" t="s">
        <v>261</v>
      </c>
      <c r="R80" s="49" t="s">
        <v>261</v>
      </c>
      <c r="S80" s="49" t="s">
        <v>261</v>
      </c>
      <c r="T80" s="49" t="s">
        <v>261</v>
      </c>
      <c r="U80" s="49">
        <v>3113</v>
      </c>
      <c r="V80" s="49">
        <v>3113</v>
      </c>
      <c r="W80" s="49"/>
    </row>
    <row r="81" spans="1:23" ht="15" customHeight="1" x14ac:dyDescent="0.25">
      <c r="A81" s="3" t="s">
        <v>17</v>
      </c>
      <c r="B81" s="1" t="s">
        <v>61</v>
      </c>
      <c r="C81" s="1" t="s">
        <v>62</v>
      </c>
      <c r="D81" s="1" t="s">
        <v>63</v>
      </c>
      <c r="E81" s="1" t="s">
        <v>64</v>
      </c>
      <c r="F81" s="49" t="s">
        <v>202</v>
      </c>
      <c r="G81" s="49">
        <v>3200</v>
      </c>
      <c r="H81" s="49">
        <v>3200</v>
      </c>
      <c r="I81" s="49" t="s">
        <v>261</v>
      </c>
      <c r="J81" s="49" t="s">
        <v>261</v>
      </c>
      <c r="K81" s="49" t="s">
        <v>261</v>
      </c>
      <c r="L81" s="49" t="s">
        <v>261</v>
      </c>
      <c r="M81" s="49" t="s">
        <v>261</v>
      </c>
      <c r="N81" s="49" t="s">
        <v>261</v>
      </c>
      <c r="O81" s="49" t="s">
        <v>261</v>
      </c>
      <c r="P81" s="49" t="s">
        <v>261</v>
      </c>
      <c r="Q81" s="49">
        <v>1060.8599999999999</v>
      </c>
      <c r="R81" s="49">
        <v>1060.8599999999999</v>
      </c>
      <c r="S81" s="49" t="s">
        <v>261</v>
      </c>
      <c r="T81" s="49" t="s">
        <v>261</v>
      </c>
      <c r="U81" s="49">
        <v>3200</v>
      </c>
      <c r="V81" s="49">
        <v>3200</v>
      </c>
      <c r="W81" s="49"/>
    </row>
    <row r="82" spans="1:23" ht="15" customHeight="1" x14ac:dyDescent="0.25">
      <c r="A82" s="3" t="s">
        <v>17</v>
      </c>
      <c r="B82" s="1" t="s">
        <v>68</v>
      </c>
      <c r="C82" s="1" t="s">
        <v>69</v>
      </c>
      <c r="D82" s="1" t="s">
        <v>70</v>
      </c>
      <c r="E82" s="1" t="s">
        <v>71</v>
      </c>
      <c r="F82" s="49" t="s">
        <v>202</v>
      </c>
      <c r="G82" s="49">
        <v>2500</v>
      </c>
      <c r="H82" s="49">
        <v>2500</v>
      </c>
      <c r="I82" s="49" t="s">
        <v>261</v>
      </c>
      <c r="J82" s="49" t="s">
        <v>261</v>
      </c>
      <c r="K82" s="49" t="s">
        <v>261</v>
      </c>
      <c r="L82" s="49" t="s">
        <v>261</v>
      </c>
      <c r="M82" s="49" t="s">
        <v>261</v>
      </c>
      <c r="N82" s="49" t="s">
        <v>261</v>
      </c>
      <c r="O82" s="49" t="s">
        <v>261</v>
      </c>
      <c r="P82" s="49" t="s">
        <v>261</v>
      </c>
      <c r="Q82" s="49" t="s">
        <v>261</v>
      </c>
      <c r="R82" s="49" t="s">
        <v>261</v>
      </c>
      <c r="S82" s="49" t="s">
        <v>261</v>
      </c>
      <c r="T82" s="49" t="s">
        <v>261</v>
      </c>
      <c r="U82" s="49">
        <v>2500</v>
      </c>
      <c r="V82" s="49">
        <v>2500</v>
      </c>
      <c r="W82" s="49"/>
    </row>
    <row r="83" spans="1:23" ht="15" customHeight="1" x14ac:dyDescent="0.25">
      <c r="G83" s="89">
        <f t="shared" ref="G83:V83" si="3">SUM(G68:G82)</f>
        <v>65860</v>
      </c>
      <c r="H83" s="89">
        <f t="shared" si="3"/>
        <v>65860</v>
      </c>
      <c r="I83" s="89">
        <f t="shared" si="3"/>
        <v>678</v>
      </c>
      <c r="J83" s="89">
        <f t="shared" si="3"/>
        <v>678</v>
      </c>
      <c r="K83" s="89">
        <f t="shared" si="3"/>
        <v>0</v>
      </c>
      <c r="L83" s="89">
        <f t="shared" si="3"/>
        <v>0</v>
      </c>
      <c r="M83" s="89">
        <f t="shared" si="3"/>
        <v>0</v>
      </c>
      <c r="N83" s="89">
        <f t="shared" si="3"/>
        <v>0</v>
      </c>
      <c r="O83" s="89">
        <f t="shared" si="3"/>
        <v>0</v>
      </c>
      <c r="P83" s="89">
        <f t="shared" si="3"/>
        <v>0</v>
      </c>
      <c r="Q83" s="89">
        <f t="shared" si="3"/>
        <v>1500.86</v>
      </c>
      <c r="R83" s="89">
        <f t="shared" si="3"/>
        <v>1500.86</v>
      </c>
      <c r="S83" s="89">
        <f t="shared" si="3"/>
        <v>0</v>
      </c>
      <c r="T83" s="89">
        <f t="shared" si="3"/>
        <v>0</v>
      </c>
      <c r="U83" s="89">
        <f t="shared" si="3"/>
        <v>66978</v>
      </c>
      <c r="V83" s="89">
        <f t="shared" si="3"/>
        <v>66978</v>
      </c>
      <c r="W83" s="49"/>
    </row>
    <row r="85" spans="1:23" ht="15" customHeight="1" x14ac:dyDescent="0.25">
      <c r="A85" s="90">
        <v>45778</v>
      </c>
    </row>
    <row r="86" spans="1:23" ht="15" customHeight="1" x14ac:dyDescent="0.25">
      <c r="A86" s="3" t="s">
        <v>17</v>
      </c>
      <c r="B86" s="1" t="s">
        <v>18</v>
      </c>
      <c r="C86" s="1" t="s">
        <v>19</v>
      </c>
      <c r="D86" s="1" t="s">
        <v>20</v>
      </c>
      <c r="E86" s="1" t="s">
        <v>21</v>
      </c>
      <c r="F86" s="49" t="s">
        <v>202</v>
      </c>
      <c r="G86" s="49">
        <v>3800</v>
      </c>
      <c r="H86" s="49">
        <v>3800</v>
      </c>
      <c r="I86" s="49" t="s">
        <v>261</v>
      </c>
      <c r="J86" s="49" t="s">
        <v>261</v>
      </c>
      <c r="K86" s="49" t="s">
        <v>261</v>
      </c>
      <c r="L86" s="49" t="s">
        <v>261</v>
      </c>
      <c r="M86" s="49" t="s">
        <v>261</v>
      </c>
      <c r="N86" s="49" t="s">
        <v>261</v>
      </c>
      <c r="O86" s="49">
        <v>2216.67</v>
      </c>
      <c r="P86" s="49">
        <v>2216.67</v>
      </c>
      <c r="Q86" s="49" t="s">
        <v>261</v>
      </c>
      <c r="R86" s="49" t="s">
        <v>261</v>
      </c>
      <c r="S86" s="49" t="s">
        <v>261</v>
      </c>
      <c r="T86" s="49" t="s">
        <v>261</v>
      </c>
      <c r="U86" s="49">
        <v>3800</v>
      </c>
      <c r="V86" s="49">
        <v>3800</v>
      </c>
      <c r="W86" s="49"/>
    </row>
    <row r="87" spans="1:23" ht="15" customHeight="1" x14ac:dyDescent="0.25">
      <c r="A87" s="3" t="s">
        <v>17</v>
      </c>
      <c r="B87" s="1" t="s">
        <v>33</v>
      </c>
      <c r="C87" s="1" t="s">
        <v>19</v>
      </c>
      <c r="D87" s="1" t="s">
        <v>25</v>
      </c>
      <c r="E87" s="1" t="s">
        <v>34</v>
      </c>
      <c r="F87" s="49" t="s">
        <v>202</v>
      </c>
      <c r="G87" s="49">
        <v>10000</v>
      </c>
      <c r="H87" s="49">
        <v>10000</v>
      </c>
      <c r="I87" s="49">
        <v>113</v>
      </c>
      <c r="J87" s="49">
        <v>113</v>
      </c>
      <c r="K87" s="49" t="s">
        <v>261</v>
      </c>
      <c r="L87" s="49" t="s">
        <v>261</v>
      </c>
      <c r="M87" s="49" t="s">
        <v>261</v>
      </c>
      <c r="N87" s="49" t="s">
        <v>261</v>
      </c>
      <c r="O87" s="49">
        <v>5731.71</v>
      </c>
      <c r="P87" s="49">
        <v>5731.71</v>
      </c>
      <c r="Q87" s="49" t="s">
        <v>261</v>
      </c>
      <c r="R87" s="49" t="s">
        <v>261</v>
      </c>
      <c r="S87" s="49" t="s">
        <v>261</v>
      </c>
      <c r="T87" s="49" t="s">
        <v>261</v>
      </c>
      <c r="U87" s="49">
        <v>10113</v>
      </c>
      <c r="V87" s="49">
        <v>10113</v>
      </c>
      <c r="W87" s="49"/>
    </row>
    <row r="88" spans="1:23" ht="15" customHeight="1" x14ac:dyDescent="0.25">
      <c r="A88" s="3" t="s">
        <v>17</v>
      </c>
      <c r="B88" s="1" t="s">
        <v>24</v>
      </c>
      <c r="C88" s="1" t="s">
        <v>19</v>
      </c>
      <c r="D88" s="1" t="s">
        <v>25</v>
      </c>
      <c r="E88" s="1" t="s">
        <v>26</v>
      </c>
      <c r="F88" s="49" t="s">
        <v>202</v>
      </c>
      <c r="G88" s="49">
        <v>15000</v>
      </c>
      <c r="H88" s="49">
        <v>15000</v>
      </c>
      <c r="I88" s="49" t="s">
        <v>261</v>
      </c>
      <c r="J88" s="49" t="s">
        <v>261</v>
      </c>
      <c r="K88" s="49" t="s">
        <v>261</v>
      </c>
      <c r="L88" s="49" t="s">
        <v>261</v>
      </c>
      <c r="M88" s="49" t="s">
        <v>261</v>
      </c>
      <c r="N88" s="49" t="s">
        <v>261</v>
      </c>
      <c r="O88" s="49">
        <v>8583.33</v>
      </c>
      <c r="P88" s="49">
        <v>8583.33</v>
      </c>
      <c r="Q88" s="49" t="s">
        <v>261</v>
      </c>
      <c r="R88" s="49" t="s">
        <v>261</v>
      </c>
      <c r="S88" s="49" t="s">
        <v>261</v>
      </c>
      <c r="T88" s="49" t="s">
        <v>261</v>
      </c>
      <c r="U88" s="49">
        <v>15000.000000000002</v>
      </c>
      <c r="V88" s="49">
        <v>15000.000000000002</v>
      </c>
      <c r="W88" s="49"/>
    </row>
    <row r="89" spans="1:23" ht="15" customHeight="1" x14ac:dyDescent="0.25">
      <c r="A89" s="3" t="s">
        <v>17</v>
      </c>
      <c r="B89" s="1" t="s">
        <v>55</v>
      </c>
      <c r="C89" s="1" t="s">
        <v>56</v>
      </c>
      <c r="D89" s="1" t="s">
        <v>28</v>
      </c>
      <c r="E89" s="1" t="s">
        <v>57</v>
      </c>
      <c r="F89" s="49" t="s">
        <v>202</v>
      </c>
      <c r="G89" s="49">
        <v>3500</v>
      </c>
      <c r="H89" s="49">
        <v>3500</v>
      </c>
      <c r="I89" s="49" t="s">
        <v>261</v>
      </c>
      <c r="J89" s="49" t="s">
        <v>261</v>
      </c>
      <c r="K89" s="49" t="s">
        <v>261</v>
      </c>
      <c r="L89" s="49" t="s">
        <v>261</v>
      </c>
      <c r="M89" s="49" t="s">
        <v>261</v>
      </c>
      <c r="N89" s="49" t="s">
        <v>261</v>
      </c>
      <c r="O89" s="49">
        <v>2041.67</v>
      </c>
      <c r="P89" s="49">
        <v>2041.67</v>
      </c>
      <c r="Q89" s="49" t="s">
        <v>261</v>
      </c>
      <c r="R89" s="49" t="s">
        <v>261</v>
      </c>
      <c r="S89" s="49" t="s">
        <v>261</v>
      </c>
      <c r="T89" s="49" t="s">
        <v>261</v>
      </c>
      <c r="U89" s="49">
        <v>3500</v>
      </c>
      <c r="V89" s="49">
        <v>3500</v>
      </c>
      <c r="W89" s="49"/>
    </row>
    <row r="90" spans="1:23" ht="15" customHeight="1" x14ac:dyDescent="0.25">
      <c r="A90" s="3" t="s">
        <v>17</v>
      </c>
      <c r="B90" s="1" t="s">
        <v>47</v>
      </c>
      <c r="C90" s="1" t="s">
        <v>48</v>
      </c>
      <c r="D90" s="1" t="s">
        <v>49</v>
      </c>
      <c r="E90" s="1" t="s">
        <v>50</v>
      </c>
      <c r="F90" s="49" t="s">
        <v>202</v>
      </c>
      <c r="G90" s="49">
        <v>3800</v>
      </c>
      <c r="H90" s="49">
        <v>3800</v>
      </c>
      <c r="I90" s="49" t="s">
        <v>261</v>
      </c>
      <c r="J90" s="49" t="s">
        <v>261</v>
      </c>
      <c r="K90" s="49" t="s">
        <v>261</v>
      </c>
      <c r="L90" s="49" t="s">
        <v>261</v>
      </c>
      <c r="M90" s="49" t="s">
        <v>261</v>
      </c>
      <c r="N90" s="49" t="s">
        <v>261</v>
      </c>
      <c r="O90" s="49">
        <v>2216.67</v>
      </c>
      <c r="P90" s="49">
        <v>2216.67</v>
      </c>
      <c r="Q90" s="49" t="s">
        <v>261</v>
      </c>
      <c r="R90" s="49" t="s">
        <v>261</v>
      </c>
      <c r="S90" s="49" t="s">
        <v>261</v>
      </c>
      <c r="T90" s="49" t="s">
        <v>261</v>
      </c>
      <c r="U90" s="49">
        <v>3800</v>
      </c>
      <c r="V90" s="49">
        <v>3800</v>
      </c>
      <c r="W90" s="49"/>
    </row>
    <row r="91" spans="1:23" ht="15" customHeight="1" x14ac:dyDescent="0.25">
      <c r="A91" s="3" t="s">
        <v>17</v>
      </c>
      <c r="B91" s="1" t="s">
        <v>58</v>
      </c>
      <c r="C91" s="1" t="s">
        <v>49</v>
      </c>
      <c r="D91" s="1" t="s">
        <v>59</v>
      </c>
      <c r="E91" s="1" t="s">
        <v>60</v>
      </c>
      <c r="F91" s="49" t="s">
        <v>202</v>
      </c>
      <c r="G91" s="49">
        <v>3800</v>
      </c>
      <c r="H91" s="49">
        <v>3800</v>
      </c>
      <c r="I91" s="49">
        <v>113</v>
      </c>
      <c r="J91" s="49">
        <v>113</v>
      </c>
      <c r="K91" s="49" t="s">
        <v>261</v>
      </c>
      <c r="L91" s="49" t="s">
        <v>261</v>
      </c>
      <c r="M91" s="49" t="s">
        <v>261</v>
      </c>
      <c r="N91" s="49" t="s">
        <v>261</v>
      </c>
      <c r="O91" s="49">
        <v>2281.71</v>
      </c>
      <c r="P91" s="49">
        <v>2281.71</v>
      </c>
      <c r="Q91" s="49" t="s">
        <v>261</v>
      </c>
      <c r="R91" s="49" t="s">
        <v>261</v>
      </c>
      <c r="S91" s="49" t="s">
        <v>261</v>
      </c>
      <c r="T91" s="49" t="s">
        <v>261</v>
      </c>
      <c r="U91" s="49">
        <v>3913</v>
      </c>
      <c r="V91" s="49">
        <v>3913</v>
      </c>
      <c r="W91" s="49"/>
    </row>
    <row r="92" spans="1:23" ht="15" customHeight="1" x14ac:dyDescent="0.25">
      <c r="A92" s="3" t="s">
        <v>17</v>
      </c>
      <c r="B92" s="1" t="s">
        <v>35</v>
      </c>
      <c r="C92" s="1" t="s">
        <v>36</v>
      </c>
      <c r="D92" s="1" t="s">
        <v>37</v>
      </c>
      <c r="E92" s="1" t="s">
        <v>38</v>
      </c>
      <c r="F92" s="49" t="s">
        <v>202</v>
      </c>
      <c r="G92" s="49">
        <v>2700</v>
      </c>
      <c r="H92" s="49">
        <v>2700</v>
      </c>
      <c r="I92" s="49">
        <v>113</v>
      </c>
      <c r="J92" s="49">
        <v>113</v>
      </c>
      <c r="K92" s="49" t="s">
        <v>261</v>
      </c>
      <c r="L92" s="49" t="s">
        <v>261</v>
      </c>
      <c r="M92" s="49" t="s">
        <v>261</v>
      </c>
      <c r="N92" s="49" t="s">
        <v>261</v>
      </c>
      <c r="O92" s="49">
        <v>1623.38</v>
      </c>
      <c r="P92" s="49">
        <v>1623.38</v>
      </c>
      <c r="Q92" s="49" t="s">
        <v>261</v>
      </c>
      <c r="R92" s="49" t="s">
        <v>261</v>
      </c>
      <c r="S92" s="49" t="s">
        <v>261</v>
      </c>
      <c r="T92" s="49" t="s">
        <v>261</v>
      </c>
      <c r="U92" s="49">
        <v>2813</v>
      </c>
      <c r="V92" s="49">
        <v>2813</v>
      </c>
      <c r="W92" s="49"/>
    </row>
    <row r="93" spans="1:23" ht="15" customHeight="1" x14ac:dyDescent="0.25">
      <c r="A93" s="3" t="s">
        <v>17</v>
      </c>
      <c r="B93" s="1" t="s">
        <v>27</v>
      </c>
      <c r="C93" s="1" t="s">
        <v>28</v>
      </c>
      <c r="D93" s="1" t="s">
        <v>29</v>
      </c>
      <c r="E93" s="1" t="s">
        <v>30</v>
      </c>
      <c r="F93" s="49" t="s">
        <v>202</v>
      </c>
      <c r="G93" s="49">
        <v>3803.77</v>
      </c>
      <c r="H93" s="49">
        <v>3803.77</v>
      </c>
      <c r="I93" s="49">
        <v>109.23</v>
      </c>
      <c r="J93" s="49">
        <v>109.23</v>
      </c>
      <c r="K93" s="49" t="s">
        <v>261</v>
      </c>
      <c r="L93" s="49" t="s">
        <v>261</v>
      </c>
      <c r="M93" s="49" t="s">
        <v>261</v>
      </c>
      <c r="N93" s="49" t="s">
        <v>261</v>
      </c>
      <c r="O93" s="49">
        <v>2281.71</v>
      </c>
      <c r="P93" s="49">
        <v>2281.71</v>
      </c>
      <c r="Q93" s="49" t="s">
        <v>261</v>
      </c>
      <c r="R93" s="49" t="s">
        <v>261</v>
      </c>
      <c r="S93" s="49" t="s">
        <v>261</v>
      </c>
      <c r="T93" s="49" t="s">
        <v>261</v>
      </c>
      <c r="U93" s="49">
        <v>3913</v>
      </c>
      <c r="V93" s="49">
        <v>3913</v>
      </c>
      <c r="W93" s="49"/>
    </row>
    <row r="94" spans="1:23" ht="15" customHeight="1" x14ac:dyDescent="0.25">
      <c r="A94" s="3" t="s">
        <v>17</v>
      </c>
      <c r="B94" s="1" t="s">
        <v>39</v>
      </c>
      <c r="C94" s="1" t="s">
        <v>40</v>
      </c>
      <c r="D94" s="1" t="s">
        <v>41</v>
      </c>
      <c r="E94" s="1" t="s">
        <v>42</v>
      </c>
      <c r="F94" s="49" t="s">
        <v>202</v>
      </c>
      <c r="G94" s="49">
        <v>3200</v>
      </c>
      <c r="H94" s="49">
        <v>3200</v>
      </c>
      <c r="I94" s="49" t="s">
        <v>261</v>
      </c>
      <c r="J94" s="49" t="s">
        <v>261</v>
      </c>
      <c r="K94" s="49" t="s">
        <v>261</v>
      </c>
      <c r="L94" s="49" t="s">
        <v>261</v>
      </c>
      <c r="M94" s="49" t="s">
        <v>261</v>
      </c>
      <c r="N94" s="49" t="s">
        <v>261</v>
      </c>
      <c r="O94" s="49">
        <v>1866.67</v>
      </c>
      <c r="P94" s="49">
        <v>1866.67</v>
      </c>
      <c r="Q94" s="49" t="s">
        <v>261</v>
      </c>
      <c r="R94" s="49" t="s">
        <v>261</v>
      </c>
      <c r="S94" s="49" t="s">
        <v>261</v>
      </c>
      <c r="T94" s="49" t="s">
        <v>261</v>
      </c>
      <c r="U94" s="49">
        <v>3200</v>
      </c>
      <c r="V94" s="49">
        <v>3200</v>
      </c>
      <c r="W94" s="49"/>
    </row>
    <row r="95" spans="1:23" ht="15" customHeight="1" x14ac:dyDescent="0.25">
      <c r="A95" s="3" t="s">
        <v>17</v>
      </c>
      <c r="B95" s="1" t="s">
        <v>43</v>
      </c>
      <c r="C95" s="1" t="s">
        <v>44</v>
      </c>
      <c r="D95" s="1" t="s">
        <v>45</v>
      </c>
      <c r="E95" s="1" t="s">
        <v>46</v>
      </c>
      <c r="F95" s="49" t="s">
        <v>202</v>
      </c>
      <c r="G95" s="49">
        <v>2800</v>
      </c>
      <c r="H95" s="49">
        <v>2800</v>
      </c>
      <c r="I95" s="49">
        <v>113</v>
      </c>
      <c r="J95" s="49">
        <v>113</v>
      </c>
      <c r="K95" s="49" t="s">
        <v>261</v>
      </c>
      <c r="L95" s="49" t="s">
        <v>261</v>
      </c>
      <c r="M95" s="49" t="s">
        <v>261</v>
      </c>
      <c r="N95" s="49" t="s">
        <v>261</v>
      </c>
      <c r="O95" s="49">
        <v>1698.38</v>
      </c>
      <c r="P95" s="49">
        <v>1698.38</v>
      </c>
      <c r="Q95" s="49" t="s">
        <v>261</v>
      </c>
      <c r="R95" s="49" t="s">
        <v>261</v>
      </c>
      <c r="S95" s="49" t="s">
        <v>261</v>
      </c>
      <c r="T95" s="49" t="s">
        <v>261</v>
      </c>
      <c r="U95" s="49">
        <v>2913</v>
      </c>
      <c r="V95" s="49">
        <v>2913</v>
      </c>
      <c r="W95" s="49"/>
    </row>
    <row r="96" spans="1:23" ht="15" customHeight="1" x14ac:dyDescent="0.25">
      <c r="A96" s="3" t="s">
        <v>17</v>
      </c>
      <c r="B96" s="1" t="s">
        <v>72</v>
      </c>
      <c r="C96" s="1" t="s">
        <v>28</v>
      </c>
      <c r="D96" s="1" t="s">
        <v>73</v>
      </c>
      <c r="E96" s="1" t="s">
        <v>74</v>
      </c>
      <c r="F96" s="49" t="s">
        <v>202</v>
      </c>
      <c r="G96" s="49">
        <v>2500</v>
      </c>
      <c r="H96" s="49">
        <v>2500</v>
      </c>
      <c r="I96" s="49" t="s">
        <v>261</v>
      </c>
      <c r="J96" s="49" t="s">
        <v>261</v>
      </c>
      <c r="K96" s="49" t="s">
        <v>261</v>
      </c>
      <c r="L96" s="49" t="s">
        <v>261</v>
      </c>
      <c r="M96" s="49" t="s">
        <v>261</v>
      </c>
      <c r="N96" s="49" t="s">
        <v>261</v>
      </c>
      <c r="O96" s="49">
        <v>1441.67</v>
      </c>
      <c r="P96" s="49">
        <v>1441.67</v>
      </c>
      <c r="Q96" s="49" t="s">
        <v>261</v>
      </c>
      <c r="R96" s="49" t="s">
        <v>261</v>
      </c>
      <c r="S96" s="49" t="s">
        <v>261</v>
      </c>
      <c r="T96" s="49" t="s">
        <v>261</v>
      </c>
      <c r="U96" s="49">
        <v>2500</v>
      </c>
      <c r="V96" s="49">
        <v>2500</v>
      </c>
      <c r="W96" s="49"/>
    </row>
    <row r="97" spans="1:23" ht="15" customHeight="1" x14ac:dyDescent="0.25">
      <c r="A97" s="3" t="s">
        <v>17</v>
      </c>
      <c r="B97" s="1" t="s">
        <v>51</v>
      </c>
      <c r="C97" s="1" t="s">
        <v>52</v>
      </c>
      <c r="D97" s="1" t="s">
        <v>53</v>
      </c>
      <c r="E97" s="1" t="s">
        <v>54</v>
      </c>
      <c r="F97" s="49" t="s">
        <v>202</v>
      </c>
      <c r="G97" s="49">
        <v>2700</v>
      </c>
      <c r="H97" s="49">
        <v>2700</v>
      </c>
      <c r="I97" s="49" t="s">
        <v>261</v>
      </c>
      <c r="J97" s="49" t="s">
        <v>261</v>
      </c>
      <c r="K97" s="49" t="s">
        <v>261</v>
      </c>
      <c r="L97" s="49" t="s">
        <v>261</v>
      </c>
      <c r="M97" s="49" t="s">
        <v>261</v>
      </c>
      <c r="N97" s="49" t="s">
        <v>261</v>
      </c>
      <c r="O97" s="49">
        <v>1575</v>
      </c>
      <c r="P97" s="49">
        <v>1575</v>
      </c>
      <c r="Q97" s="49" t="s">
        <v>261</v>
      </c>
      <c r="R97" s="49" t="s">
        <v>261</v>
      </c>
      <c r="S97" s="49" t="s">
        <v>261</v>
      </c>
      <c r="T97" s="49" t="s">
        <v>261</v>
      </c>
      <c r="U97" s="49">
        <v>2700</v>
      </c>
      <c r="V97" s="49">
        <v>2700</v>
      </c>
      <c r="W97" s="49"/>
    </row>
    <row r="98" spans="1:23" ht="15" customHeight="1" x14ac:dyDescent="0.25">
      <c r="A98" s="3" t="s">
        <v>17</v>
      </c>
      <c r="B98" s="1" t="s">
        <v>65</v>
      </c>
      <c r="C98" s="1" t="s">
        <v>66</v>
      </c>
      <c r="D98" s="1" t="s">
        <v>67</v>
      </c>
      <c r="E98" s="1" t="s">
        <v>38</v>
      </c>
      <c r="F98" s="49" t="s">
        <v>202</v>
      </c>
      <c r="G98" s="49">
        <v>3000</v>
      </c>
      <c r="H98" s="49">
        <v>3000</v>
      </c>
      <c r="I98" s="49">
        <v>113</v>
      </c>
      <c r="J98" s="49">
        <v>113</v>
      </c>
      <c r="K98" s="49" t="s">
        <v>261</v>
      </c>
      <c r="L98" s="49" t="s">
        <v>261</v>
      </c>
      <c r="M98" s="49" t="s">
        <v>261</v>
      </c>
      <c r="N98" s="49" t="s">
        <v>261</v>
      </c>
      <c r="O98" s="49">
        <v>1798.38</v>
      </c>
      <c r="P98" s="49">
        <v>1798.38</v>
      </c>
      <c r="Q98" s="49" t="s">
        <v>261</v>
      </c>
      <c r="R98" s="49" t="s">
        <v>261</v>
      </c>
      <c r="S98" s="49" t="s">
        <v>261</v>
      </c>
      <c r="T98" s="49" t="s">
        <v>261</v>
      </c>
      <c r="U98" s="49">
        <v>3113</v>
      </c>
      <c r="V98" s="49">
        <v>3113</v>
      </c>
      <c r="W98" s="49"/>
    </row>
    <row r="99" spans="1:23" ht="15" customHeight="1" x14ac:dyDescent="0.25">
      <c r="A99" s="3" t="s">
        <v>17</v>
      </c>
      <c r="B99" s="1" t="s">
        <v>61</v>
      </c>
      <c r="C99" s="1" t="s">
        <v>62</v>
      </c>
      <c r="D99" s="1" t="s">
        <v>63</v>
      </c>
      <c r="E99" s="1" t="s">
        <v>64</v>
      </c>
      <c r="F99" s="49" t="s">
        <v>202</v>
      </c>
      <c r="G99" s="49">
        <v>3200</v>
      </c>
      <c r="H99" s="49">
        <v>3200</v>
      </c>
      <c r="I99" s="49" t="s">
        <v>261</v>
      </c>
      <c r="J99" s="49" t="s">
        <v>261</v>
      </c>
      <c r="K99" s="49" t="s">
        <v>261</v>
      </c>
      <c r="L99" s="49" t="s">
        <v>261</v>
      </c>
      <c r="M99" s="49" t="s">
        <v>261</v>
      </c>
      <c r="N99" s="49" t="s">
        <v>261</v>
      </c>
      <c r="O99" s="49">
        <v>1866.67</v>
      </c>
      <c r="P99" s="49">
        <v>1866.67</v>
      </c>
      <c r="Q99" s="49" t="s">
        <v>261</v>
      </c>
      <c r="R99" s="49" t="s">
        <v>261</v>
      </c>
      <c r="S99" s="49" t="s">
        <v>261</v>
      </c>
      <c r="T99" s="49" t="s">
        <v>261</v>
      </c>
      <c r="U99" s="49">
        <v>3200</v>
      </c>
      <c r="V99" s="49">
        <v>3200</v>
      </c>
      <c r="W99" s="49"/>
    </row>
    <row r="100" spans="1:23" ht="15" customHeight="1" x14ac:dyDescent="0.25">
      <c r="A100" s="3" t="s">
        <v>17</v>
      </c>
      <c r="B100" s="1" t="s">
        <v>68</v>
      </c>
      <c r="C100" s="1" t="s">
        <v>69</v>
      </c>
      <c r="D100" s="1" t="s">
        <v>70</v>
      </c>
      <c r="E100" s="1" t="s">
        <v>71</v>
      </c>
      <c r="F100" s="49" t="s">
        <v>202</v>
      </c>
      <c r="G100" s="49">
        <v>2500</v>
      </c>
      <c r="H100" s="49">
        <v>2500</v>
      </c>
      <c r="I100" s="49" t="s">
        <v>261</v>
      </c>
      <c r="J100" s="49" t="s">
        <v>261</v>
      </c>
      <c r="K100" s="49" t="s">
        <v>261</v>
      </c>
      <c r="L100" s="49" t="s">
        <v>261</v>
      </c>
      <c r="M100" s="49" t="s">
        <v>261</v>
      </c>
      <c r="N100" s="49" t="s">
        <v>261</v>
      </c>
      <c r="O100" s="49">
        <v>1441.67</v>
      </c>
      <c r="P100" s="49">
        <v>1441.67</v>
      </c>
      <c r="Q100" s="49" t="s">
        <v>261</v>
      </c>
      <c r="R100" s="49" t="s">
        <v>261</v>
      </c>
      <c r="S100" s="49" t="s">
        <v>261</v>
      </c>
      <c r="T100" s="49" t="s">
        <v>261</v>
      </c>
      <c r="U100" s="49">
        <v>2500</v>
      </c>
      <c r="V100" s="49">
        <v>2500</v>
      </c>
      <c r="W100" s="49"/>
    </row>
    <row r="101" spans="1:23" ht="15" customHeight="1" x14ac:dyDescent="0.25">
      <c r="G101" s="89">
        <f t="shared" ref="G101:V101" si="4">SUM(G86:G100)</f>
        <v>66303.76999999999</v>
      </c>
      <c r="H101" s="89">
        <f t="shared" si="4"/>
        <v>66303.76999999999</v>
      </c>
      <c r="I101" s="89">
        <f t="shared" si="4"/>
        <v>674.23</v>
      </c>
      <c r="J101" s="89">
        <f t="shared" si="4"/>
        <v>674.23</v>
      </c>
      <c r="K101" s="89">
        <f t="shared" si="4"/>
        <v>0</v>
      </c>
      <c r="L101" s="89">
        <f t="shared" si="4"/>
        <v>0</v>
      </c>
      <c r="M101" s="89">
        <f t="shared" si="4"/>
        <v>0</v>
      </c>
      <c r="N101" s="89">
        <f t="shared" si="4"/>
        <v>0</v>
      </c>
      <c r="O101" s="89">
        <f t="shared" si="4"/>
        <v>38665.289999999994</v>
      </c>
      <c r="P101" s="89">
        <f t="shared" si="4"/>
        <v>38665.289999999994</v>
      </c>
      <c r="Q101" s="89">
        <f t="shared" si="4"/>
        <v>0</v>
      </c>
      <c r="R101" s="89">
        <f t="shared" si="4"/>
        <v>0</v>
      </c>
      <c r="S101" s="89">
        <f t="shared" si="4"/>
        <v>0</v>
      </c>
      <c r="T101" s="89">
        <f t="shared" si="4"/>
        <v>0</v>
      </c>
      <c r="U101" s="89">
        <f t="shared" si="4"/>
        <v>66978</v>
      </c>
      <c r="V101" s="89">
        <f t="shared" si="4"/>
        <v>66978</v>
      </c>
      <c r="W101" s="49"/>
    </row>
    <row r="103" spans="1:23" ht="15" customHeight="1" x14ac:dyDescent="0.25">
      <c r="A103" s="90">
        <v>45809</v>
      </c>
    </row>
    <row r="104" spans="1:23" ht="15" customHeight="1" x14ac:dyDescent="0.25">
      <c r="A104" s="3" t="s">
        <v>17</v>
      </c>
      <c r="B104" s="1" t="s">
        <v>18</v>
      </c>
      <c r="C104" s="1" t="s">
        <v>19</v>
      </c>
      <c r="D104" s="1" t="s">
        <v>20</v>
      </c>
      <c r="E104" s="1" t="s">
        <v>21</v>
      </c>
      <c r="F104" s="49" t="s">
        <v>202</v>
      </c>
      <c r="G104" s="49">
        <v>3800</v>
      </c>
      <c r="H104" s="49">
        <v>3800</v>
      </c>
      <c r="I104" s="49" t="s">
        <v>261</v>
      </c>
      <c r="J104" s="49" t="s">
        <v>261</v>
      </c>
      <c r="K104" s="49" t="s">
        <v>261</v>
      </c>
      <c r="L104" s="49" t="s">
        <v>261</v>
      </c>
      <c r="M104" s="49" t="s">
        <v>261</v>
      </c>
      <c r="N104" s="49" t="s">
        <v>261</v>
      </c>
      <c r="O104" s="49" t="s">
        <v>261</v>
      </c>
      <c r="P104" s="49" t="s">
        <v>261</v>
      </c>
      <c r="Q104" s="49" t="s">
        <v>261</v>
      </c>
      <c r="R104" s="49" t="s">
        <v>261</v>
      </c>
      <c r="S104" s="49" t="s">
        <v>261</v>
      </c>
      <c r="T104" s="49" t="s">
        <v>261</v>
      </c>
      <c r="U104" s="49">
        <v>3800</v>
      </c>
      <c r="V104" s="49">
        <v>3800</v>
      </c>
      <c r="W104" s="1">
        <f>+V104*2</f>
        <v>7600</v>
      </c>
    </row>
    <row r="105" spans="1:23" ht="15" customHeight="1" x14ac:dyDescent="0.25">
      <c r="A105" s="3" t="s">
        <v>17</v>
      </c>
      <c r="B105" s="1" t="s">
        <v>33</v>
      </c>
      <c r="C105" s="1" t="s">
        <v>19</v>
      </c>
      <c r="D105" s="1" t="s">
        <v>25</v>
      </c>
      <c r="E105" s="1" t="s">
        <v>34</v>
      </c>
      <c r="F105" s="49" t="s">
        <v>202</v>
      </c>
      <c r="G105" s="49">
        <v>10000</v>
      </c>
      <c r="H105" s="49">
        <v>10000</v>
      </c>
      <c r="I105" s="49">
        <v>113</v>
      </c>
      <c r="J105" s="49">
        <v>113</v>
      </c>
      <c r="K105" s="49" t="s">
        <v>261</v>
      </c>
      <c r="L105" s="49" t="s">
        <v>261</v>
      </c>
      <c r="M105" s="49" t="s">
        <v>261</v>
      </c>
      <c r="N105" s="49" t="s">
        <v>261</v>
      </c>
      <c r="O105" s="49" t="s">
        <v>261</v>
      </c>
      <c r="P105" s="49" t="s">
        <v>261</v>
      </c>
      <c r="Q105" s="49" t="s">
        <v>261</v>
      </c>
      <c r="R105" s="49" t="s">
        <v>261</v>
      </c>
      <c r="S105" s="49" t="s">
        <v>261</v>
      </c>
      <c r="T105" s="49" t="s">
        <v>261</v>
      </c>
      <c r="U105" s="49">
        <v>10113</v>
      </c>
      <c r="V105" s="49">
        <v>10113</v>
      </c>
      <c r="W105" s="1">
        <f t="shared" ref="W105:W118" si="5">+V105*2</f>
        <v>20226</v>
      </c>
    </row>
    <row r="106" spans="1:23" ht="15" customHeight="1" x14ac:dyDescent="0.25">
      <c r="A106" s="3" t="s">
        <v>17</v>
      </c>
      <c r="B106" s="1" t="s">
        <v>24</v>
      </c>
      <c r="C106" s="1" t="s">
        <v>19</v>
      </c>
      <c r="D106" s="1" t="s">
        <v>25</v>
      </c>
      <c r="E106" s="1" t="s">
        <v>26</v>
      </c>
      <c r="F106" s="49" t="s">
        <v>202</v>
      </c>
      <c r="G106" s="49">
        <v>15000</v>
      </c>
      <c r="H106" s="49">
        <v>15000</v>
      </c>
      <c r="I106" s="49" t="s">
        <v>261</v>
      </c>
      <c r="J106" s="49" t="s">
        <v>261</v>
      </c>
      <c r="K106" s="49" t="s">
        <v>261</v>
      </c>
      <c r="L106" s="49" t="s">
        <v>261</v>
      </c>
      <c r="M106" s="49" t="s">
        <v>261</v>
      </c>
      <c r="N106" s="49" t="s">
        <v>261</v>
      </c>
      <c r="O106" s="49" t="s">
        <v>261</v>
      </c>
      <c r="P106" s="49" t="s">
        <v>261</v>
      </c>
      <c r="Q106" s="49" t="s">
        <v>261</v>
      </c>
      <c r="R106" s="49" t="s">
        <v>261</v>
      </c>
      <c r="S106" s="49" t="s">
        <v>261</v>
      </c>
      <c r="T106" s="49" t="s">
        <v>261</v>
      </c>
      <c r="U106" s="49">
        <v>15000</v>
      </c>
      <c r="V106" s="49">
        <v>15000</v>
      </c>
      <c r="W106" s="1">
        <f t="shared" si="5"/>
        <v>30000</v>
      </c>
    </row>
    <row r="107" spans="1:23" ht="15" customHeight="1" x14ac:dyDescent="0.25">
      <c r="A107" s="3" t="s">
        <v>17</v>
      </c>
      <c r="B107" s="1" t="s">
        <v>55</v>
      </c>
      <c r="C107" s="1" t="s">
        <v>56</v>
      </c>
      <c r="D107" s="1" t="s">
        <v>28</v>
      </c>
      <c r="E107" s="1" t="s">
        <v>57</v>
      </c>
      <c r="F107" s="49" t="s">
        <v>202</v>
      </c>
      <c r="G107" s="49">
        <v>3500</v>
      </c>
      <c r="H107" s="49">
        <v>3500</v>
      </c>
      <c r="I107" s="49" t="s">
        <v>261</v>
      </c>
      <c r="J107" s="49" t="s">
        <v>261</v>
      </c>
      <c r="K107" s="49" t="s">
        <v>261</v>
      </c>
      <c r="L107" s="49" t="s">
        <v>261</v>
      </c>
      <c r="M107" s="49" t="s">
        <v>261</v>
      </c>
      <c r="N107" s="49" t="s">
        <v>261</v>
      </c>
      <c r="O107" s="49" t="s">
        <v>261</v>
      </c>
      <c r="P107" s="49" t="s">
        <v>261</v>
      </c>
      <c r="Q107" s="49" t="s">
        <v>261</v>
      </c>
      <c r="R107" s="49" t="s">
        <v>261</v>
      </c>
      <c r="S107" s="49" t="s">
        <v>261</v>
      </c>
      <c r="T107" s="49" t="s">
        <v>261</v>
      </c>
      <c r="U107" s="49">
        <v>3500</v>
      </c>
      <c r="V107" s="49">
        <v>3500</v>
      </c>
      <c r="W107" s="1">
        <f t="shared" si="5"/>
        <v>7000</v>
      </c>
    </row>
    <row r="108" spans="1:23" ht="15" customHeight="1" x14ac:dyDescent="0.25">
      <c r="A108" s="3" t="s">
        <v>17</v>
      </c>
      <c r="B108" s="1" t="s">
        <v>47</v>
      </c>
      <c r="C108" s="1" t="s">
        <v>48</v>
      </c>
      <c r="D108" s="1" t="s">
        <v>49</v>
      </c>
      <c r="E108" s="1" t="s">
        <v>50</v>
      </c>
      <c r="F108" s="49" t="s">
        <v>202</v>
      </c>
      <c r="G108" s="49">
        <v>3800</v>
      </c>
      <c r="H108" s="49">
        <v>3800</v>
      </c>
      <c r="I108" s="49" t="s">
        <v>261</v>
      </c>
      <c r="J108" s="49" t="s">
        <v>261</v>
      </c>
      <c r="K108" s="49" t="s">
        <v>261</v>
      </c>
      <c r="L108" s="49" t="s">
        <v>261</v>
      </c>
      <c r="M108" s="49" t="s">
        <v>261</v>
      </c>
      <c r="N108" s="49" t="s">
        <v>261</v>
      </c>
      <c r="O108" s="49" t="s">
        <v>261</v>
      </c>
      <c r="P108" s="49" t="s">
        <v>261</v>
      </c>
      <c r="Q108" s="49" t="s">
        <v>261</v>
      </c>
      <c r="R108" s="49" t="s">
        <v>261</v>
      </c>
      <c r="S108" s="49" t="s">
        <v>261</v>
      </c>
      <c r="T108" s="49" t="s">
        <v>261</v>
      </c>
      <c r="U108" s="49">
        <v>3800</v>
      </c>
      <c r="V108" s="49">
        <v>3800</v>
      </c>
      <c r="W108" s="1">
        <f t="shared" si="5"/>
        <v>7600</v>
      </c>
    </row>
    <row r="109" spans="1:23" ht="15" customHeight="1" x14ac:dyDescent="0.25">
      <c r="A109" s="3" t="s">
        <v>17</v>
      </c>
      <c r="B109" s="1" t="s">
        <v>58</v>
      </c>
      <c r="C109" s="1" t="s">
        <v>49</v>
      </c>
      <c r="D109" s="1" t="s">
        <v>59</v>
      </c>
      <c r="E109" s="1" t="s">
        <v>60</v>
      </c>
      <c r="F109" s="49" t="s">
        <v>202</v>
      </c>
      <c r="G109" s="49">
        <v>3800</v>
      </c>
      <c r="H109" s="49">
        <v>3800</v>
      </c>
      <c r="I109" s="49">
        <v>113</v>
      </c>
      <c r="J109" s="49">
        <v>113</v>
      </c>
      <c r="K109" s="49" t="s">
        <v>261</v>
      </c>
      <c r="L109" s="49" t="s">
        <v>261</v>
      </c>
      <c r="M109" s="49" t="s">
        <v>261</v>
      </c>
      <c r="N109" s="49" t="s">
        <v>261</v>
      </c>
      <c r="O109" s="49" t="s">
        <v>261</v>
      </c>
      <c r="P109" s="49" t="s">
        <v>261</v>
      </c>
      <c r="Q109" s="49" t="s">
        <v>261</v>
      </c>
      <c r="R109" s="49" t="s">
        <v>261</v>
      </c>
      <c r="S109" s="49" t="s">
        <v>261</v>
      </c>
      <c r="T109" s="49" t="s">
        <v>261</v>
      </c>
      <c r="U109" s="49">
        <v>3913</v>
      </c>
      <c r="V109" s="49">
        <v>3913</v>
      </c>
      <c r="W109" s="1">
        <f t="shared" si="5"/>
        <v>7826</v>
      </c>
    </row>
    <row r="110" spans="1:23" ht="15" customHeight="1" x14ac:dyDescent="0.25">
      <c r="A110" s="3" t="s">
        <v>17</v>
      </c>
      <c r="B110" s="1" t="s">
        <v>35</v>
      </c>
      <c r="C110" s="1" t="s">
        <v>36</v>
      </c>
      <c r="D110" s="1" t="s">
        <v>37</v>
      </c>
      <c r="E110" s="1" t="s">
        <v>38</v>
      </c>
      <c r="F110" s="49" t="s">
        <v>202</v>
      </c>
      <c r="G110" s="49">
        <v>2700</v>
      </c>
      <c r="H110" s="49">
        <v>2700</v>
      </c>
      <c r="I110" s="49">
        <v>113</v>
      </c>
      <c r="J110" s="49">
        <v>113</v>
      </c>
      <c r="K110" s="49" t="s">
        <v>261</v>
      </c>
      <c r="L110" s="49" t="s">
        <v>261</v>
      </c>
      <c r="M110" s="49" t="s">
        <v>261</v>
      </c>
      <c r="N110" s="49" t="s">
        <v>261</v>
      </c>
      <c r="O110" s="49" t="s">
        <v>261</v>
      </c>
      <c r="P110" s="49" t="s">
        <v>261</v>
      </c>
      <c r="Q110" s="49" t="s">
        <v>261</v>
      </c>
      <c r="R110" s="49" t="s">
        <v>261</v>
      </c>
      <c r="S110" s="49" t="s">
        <v>261</v>
      </c>
      <c r="T110" s="49" t="s">
        <v>261</v>
      </c>
      <c r="U110" s="49">
        <v>2813</v>
      </c>
      <c r="V110" s="49">
        <v>2813</v>
      </c>
      <c r="W110" s="1">
        <f t="shared" si="5"/>
        <v>5626</v>
      </c>
    </row>
    <row r="111" spans="1:23" ht="15" customHeight="1" x14ac:dyDescent="0.25">
      <c r="A111" s="3" t="s">
        <v>17</v>
      </c>
      <c r="B111" s="1" t="s">
        <v>27</v>
      </c>
      <c r="C111" s="1" t="s">
        <v>28</v>
      </c>
      <c r="D111" s="1" t="s">
        <v>29</v>
      </c>
      <c r="E111" s="1" t="s">
        <v>30</v>
      </c>
      <c r="F111" s="49" t="s">
        <v>202</v>
      </c>
      <c r="G111" s="49">
        <v>3901.7</v>
      </c>
      <c r="H111" s="49">
        <v>3901.7</v>
      </c>
      <c r="I111" s="49">
        <v>11.3</v>
      </c>
      <c r="J111" s="49">
        <v>11.3</v>
      </c>
      <c r="K111" s="49" t="s">
        <v>261</v>
      </c>
      <c r="L111" s="49" t="s">
        <v>261</v>
      </c>
      <c r="M111" s="49" t="s">
        <v>261</v>
      </c>
      <c r="N111" s="49" t="s">
        <v>261</v>
      </c>
      <c r="O111" s="49" t="s">
        <v>261</v>
      </c>
      <c r="P111" s="49" t="s">
        <v>261</v>
      </c>
      <c r="Q111" s="49" t="s">
        <v>261</v>
      </c>
      <c r="R111" s="49" t="s">
        <v>261</v>
      </c>
      <c r="S111" s="49" t="s">
        <v>261</v>
      </c>
      <c r="T111" s="49" t="s">
        <v>261</v>
      </c>
      <c r="U111" s="49">
        <v>3913</v>
      </c>
      <c r="V111" s="49">
        <v>3913</v>
      </c>
      <c r="W111" s="1">
        <f t="shared" si="5"/>
        <v>7826</v>
      </c>
    </row>
    <row r="112" spans="1:23" ht="15" customHeight="1" x14ac:dyDescent="0.25">
      <c r="A112" s="3" t="s">
        <v>17</v>
      </c>
      <c r="B112" s="1" t="s">
        <v>39</v>
      </c>
      <c r="C112" s="1" t="s">
        <v>40</v>
      </c>
      <c r="D112" s="1" t="s">
        <v>41</v>
      </c>
      <c r="E112" s="1" t="s">
        <v>42</v>
      </c>
      <c r="F112" s="49" t="s">
        <v>202</v>
      </c>
      <c r="G112" s="49">
        <v>3200</v>
      </c>
      <c r="H112" s="49">
        <v>3200</v>
      </c>
      <c r="I112" s="49" t="s">
        <v>261</v>
      </c>
      <c r="J112" s="49" t="s">
        <v>261</v>
      </c>
      <c r="K112" s="49" t="s">
        <v>261</v>
      </c>
      <c r="L112" s="49" t="s">
        <v>261</v>
      </c>
      <c r="M112" s="49" t="s">
        <v>261</v>
      </c>
      <c r="N112" s="49" t="s">
        <v>261</v>
      </c>
      <c r="O112" s="49" t="s">
        <v>261</v>
      </c>
      <c r="P112" s="49" t="s">
        <v>261</v>
      </c>
      <c r="Q112" s="49" t="s">
        <v>261</v>
      </c>
      <c r="R112" s="49" t="s">
        <v>261</v>
      </c>
      <c r="S112" s="49" t="s">
        <v>261</v>
      </c>
      <c r="T112" s="49" t="s">
        <v>261</v>
      </c>
      <c r="U112" s="49">
        <v>3200</v>
      </c>
      <c r="V112" s="49">
        <v>3200</v>
      </c>
      <c r="W112" s="1">
        <f t="shared" si="5"/>
        <v>6400</v>
      </c>
    </row>
    <row r="113" spans="1:23" ht="15" customHeight="1" x14ac:dyDescent="0.25">
      <c r="A113" s="3" t="s">
        <v>17</v>
      </c>
      <c r="B113" s="1" t="s">
        <v>43</v>
      </c>
      <c r="C113" s="1" t="s">
        <v>44</v>
      </c>
      <c r="D113" s="1" t="s">
        <v>45</v>
      </c>
      <c r="E113" s="1" t="s">
        <v>46</v>
      </c>
      <c r="F113" s="49" t="s">
        <v>202</v>
      </c>
      <c r="G113" s="49">
        <v>2800</v>
      </c>
      <c r="H113" s="49">
        <v>2800</v>
      </c>
      <c r="I113" s="49">
        <v>113</v>
      </c>
      <c r="J113" s="49">
        <v>113</v>
      </c>
      <c r="K113" s="49" t="s">
        <v>261</v>
      </c>
      <c r="L113" s="49" t="s">
        <v>261</v>
      </c>
      <c r="M113" s="49" t="s">
        <v>261</v>
      </c>
      <c r="N113" s="49" t="s">
        <v>261</v>
      </c>
      <c r="O113" s="49" t="s">
        <v>261</v>
      </c>
      <c r="P113" s="49" t="s">
        <v>261</v>
      </c>
      <c r="Q113" s="49" t="s">
        <v>261</v>
      </c>
      <c r="R113" s="49" t="s">
        <v>261</v>
      </c>
      <c r="S113" s="49" t="s">
        <v>261</v>
      </c>
      <c r="T113" s="49" t="s">
        <v>261</v>
      </c>
      <c r="U113" s="49">
        <v>2913</v>
      </c>
      <c r="V113" s="49">
        <v>2913</v>
      </c>
      <c r="W113" s="1">
        <f t="shared" si="5"/>
        <v>5826</v>
      </c>
    </row>
    <row r="114" spans="1:23" ht="15" customHeight="1" x14ac:dyDescent="0.25">
      <c r="A114" s="3" t="s">
        <v>17</v>
      </c>
      <c r="B114" s="1" t="s">
        <v>72</v>
      </c>
      <c r="C114" s="1" t="s">
        <v>28</v>
      </c>
      <c r="D114" s="1" t="s">
        <v>73</v>
      </c>
      <c r="E114" s="1" t="s">
        <v>74</v>
      </c>
      <c r="F114" s="49" t="s">
        <v>202</v>
      </c>
      <c r="G114" s="49">
        <v>2500</v>
      </c>
      <c r="H114" s="49">
        <v>2500</v>
      </c>
      <c r="I114" s="49" t="s">
        <v>261</v>
      </c>
      <c r="J114" s="49" t="s">
        <v>261</v>
      </c>
      <c r="K114" s="49" t="s">
        <v>261</v>
      </c>
      <c r="L114" s="49" t="s">
        <v>261</v>
      </c>
      <c r="M114" s="49" t="s">
        <v>261</v>
      </c>
      <c r="N114" s="49" t="s">
        <v>261</v>
      </c>
      <c r="O114" s="49" t="s">
        <v>261</v>
      </c>
      <c r="P114" s="49" t="s">
        <v>261</v>
      </c>
      <c r="Q114" s="49" t="s">
        <v>261</v>
      </c>
      <c r="R114" s="49" t="s">
        <v>261</v>
      </c>
      <c r="S114" s="49" t="s">
        <v>261</v>
      </c>
      <c r="T114" s="49" t="s">
        <v>261</v>
      </c>
      <c r="U114" s="49">
        <v>2500</v>
      </c>
      <c r="V114" s="49">
        <v>2500</v>
      </c>
      <c r="W114" s="1">
        <f t="shared" si="5"/>
        <v>5000</v>
      </c>
    </row>
    <row r="115" spans="1:23" ht="15" customHeight="1" x14ac:dyDescent="0.25">
      <c r="A115" s="3" t="s">
        <v>17</v>
      </c>
      <c r="B115" s="1" t="s">
        <v>51</v>
      </c>
      <c r="C115" s="1" t="s">
        <v>52</v>
      </c>
      <c r="D115" s="1" t="s">
        <v>53</v>
      </c>
      <c r="E115" s="1" t="s">
        <v>54</v>
      </c>
      <c r="F115" s="49" t="s">
        <v>202</v>
      </c>
      <c r="G115" s="49">
        <v>2700</v>
      </c>
      <c r="H115" s="49">
        <v>2700</v>
      </c>
      <c r="I115" s="49" t="s">
        <v>261</v>
      </c>
      <c r="J115" s="49" t="s">
        <v>261</v>
      </c>
      <c r="K115" s="49" t="s">
        <v>261</v>
      </c>
      <c r="L115" s="49" t="s">
        <v>261</v>
      </c>
      <c r="M115" s="49" t="s">
        <v>261</v>
      </c>
      <c r="N115" s="49" t="s">
        <v>261</v>
      </c>
      <c r="O115" s="49" t="s">
        <v>261</v>
      </c>
      <c r="P115" s="49" t="s">
        <v>261</v>
      </c>
      <c r="Q115" s="49" t="s">
        <v>261</v>
      </c>
      <c r="R115" s="49" t="s">
        <v>261</v>
      </c>
      <c r="S115" s="49" t="s">
        <v>261</v>
      </c>
      <c r="T115" s="49" t="s">
        <v>261</v>
      </c>
      <c r="U115" s="49">
        <v>2700</v>
      </c>
      <c r="V115" s="49">
        <v>2700</v>
      </c>
      <c r="W115" s="1">
        <f t="shared" si="5"/>
        <v>5400</v>
      </c>
    </row>
    <row r="116" spans="1:23" ht="15" customHeight="1" x14ac:dyDescent="0.25">
      <c r="A116" s="3" t="s">
        <v>17</v>
      </c>
      <c r="B116" s="1" t="s">
        <v>65</v>
      </c>
      <c r="C116" s="1" t="s">
        <v>66</v>
      </c>
      <c r="D116" s="1" t="s">
        <v>67</v>
      </c>
      <c r="E116" s="1" t="s">
        <v>38</v>
      </c>
      <c r="F116" s="49" t="s">
        <v>202</v>
      </c>
      <c r="G116" s="49">
        <v>3000</v>
      </c>
      <c r="H116" s="49">
        <v>3000</v>
      </c>
      <c r="I116" s="49">
        <v>113</v>
      </c>
      <c r="J116" s="49">
        <v>113</v>
      </c>
      <c r="K116" s="49" t="s">
        <v>261</v>
      </c>
      <c r="L116" s="49" t="s">
        <v>261</v>
      </c>
      <c r="M116" s="49" t="s">
        <v>261</v>
      </c>
      <c r="N116" s="49" t="s">
        <v>261</v>
      </c>
      <c r="O116" s="49" t="s">
        <v>261</v>
      </c>
      <c r="P116" s="49" t="s">
        <v>261</v>
      </c>
      <c r="Q116" s="49" t="s">
        <v>261</v>
      </c>
      <c r="R116" s="49" t="s">
        <v>261</v>
      </c>
      <c r="S116" s="49" t="s">
        <v>261</v>
      </c>
      <c r="T116" s="49" t="s">
        <v>261</v>
      </c>
      <c r="U116" s="49">
        <v>3113</v>
      </c>
      <c r="V116" s="49">
        <v>3113</v>
      </c>
      <c r="W116" s="1">
        <f t="shared" si="5"/>
        <v>6226</v>
      </c>
    </row>
    <row r="117" spans="1:23" ht="15" customHeight="1" x14ac:dyDescent="0.25">
      <c r="A117" s="3" t="s">
        <v>17</v>
      </c>
      <c r="B117" s="1" t="s">
        <v>61</v>
      </c>
      <c r="C117" s="1" t="s">
        <v>62</v>
      </c>
      <c r="D117" s="1" t="s">
        <v>63</v>
      </c>
      <c r="E117" s="1" t="s">
        <v>64</v>
      </c>
      <c r="F117" s="49" t="s">
        <v>202</v>
      </c>
      <c r="G117" s="49">
        <v>3200</v>
      </c>
      <c r="H117" s="49">
        <v>3200</v>
      </c>
      <c r="I117" s="49" t="s">
        <v>261</v>
      </c>
      <c r="J117" s="49" t="s">
        <v>261</v>
      </c>
      <c r="K117" s="49" t="s">
        <v>261</v>
      </c>
      <c r="L117" s="49" t="s">
        <v>261</v>
      </c>
      <c r="M117" s="49" t="s">
        <v>261</v>
      </c>
      <c r="N117" s="49" t="s">
        <v>261</v>
      </c>
      <c r="O117" s="49" t="s">
        <v>261</v>
      </c>
      <c r="P117" s="49" t="s">
        <v>261</v>
      </c>
      <c r="Q117" s="49" t="s">
        <v>261</v>
      </c>
      <c r="R117" s="49" t="s">
        <v>261</v>
      </c>
      <c r="S117" s="49" t="s">
        <v>261</v>
      </c>
      <c r="T117" s="49" t="s">
        <v>261</v>
      </c>
      <c r="U117" s="49">
        <v>3200</v>
      </c>
      <c r="V117" s="49">
        <v>3200</v>
      </c>
      <c r="W117" s="1">
        <f t="shared" si="5"/>
        <v>6400</v>
      </c>
    </row>
    <row r="118" spans="1:23" ht="15" customHeight="1" x14ac:dyDescent="0.25">
      <c r="A118" s="3" t="s">
        <v>17</v>
      </c>
      <c r="B118" s="1" t="s">
        <v>68</v>
      </c>
      <c r="C118" s="1" t="s">
        <v>69</v>
      </c>
      <c r="D118" s="1" t="s">
        <v>70</v>
      </c>
      <c r="E118" s="1" t="s">
        <v>71</v>
      </c>
      <c r="F118" s="49" t="s">
        <v>202</v>
      </c>
      <c r="G118" s="49">
        <v>2500</v>
      </c>
      <c r="H118" s="49">
        <v>2500</v>
      </c>
      <c r="I118" s="49" t="s">
        <v>261</v>
      </c>
      <c r="J118" s="49" t="s">
        <v>261</v>
      </c>
      <c r="K118" s="49" t="s">
        <v>261</v>
      </c>
      <c r="L118" s="49" t="s">
        <v>261</v>
      </c>
      <c r="M118" s="49" t="s">
        <v>261</v>
      </c>
      <c r="N118" s="49" t="s">
        <v>261</v>
      </c>
      <c r="O118" s="49" t="s">
        <v>261</v>
      </c>
      <c r="P118" s="49" t="s">
        <v>261</v>
      </c>
      <c r="Q118" s="49" t="s">
        <v>261</v>
      </c>
      <c r="R118" s="49" t="s">
        <v>261</v>
      </c>
      <c r="S118" s="49" t="s">
        <v>261</v>
      </c>
      <c r="T118" s="49" t="s">
        <v>261</v>
      </c>
      <c r="U118" s="49">
        <v>2500</v>
      </c>
      <c r="V118" s="49">
        <v>2500</v>
      </c>
      <c r="W118" s="1">
        <f t="shared" si="5"/>
        <v>5000</v>
      </c>
    </row>
    <row r="119" spans="1:23" ht="15" customHeight="1" x14ac:dyDescent="0.25">
      <c r="G119" s="89">
        <f t="shared" ref="G119:V119" si="6">SUM(G104:G118)</f>
        <v>66401.7</v>
      </c>
      <c r="H119" s="89">
        <f t="shared" si="6"/>
        <v>66401.7</v>
      </c>
      <c r="I119" s="89">
        <f t="shared" si="6"/>
        <v>576.29999999999995</v>
      </c>
      <c r="J119" s="89">
        <f t="shared" si="6"/>
        <v>576.29999999999995</v>
      </c>
      <c r="K119" s="89">
        <f t="shared" si="6"/>
        <v>0</v>
      </c>
      <c r="L119" s="89">
        <f t="shared" si="6"/>
        <v>0</v>
      </c>
      <c r="M119" s="89">
        <f t="shared" si="6"/>
        <v>0</v>
      </c>
      <c r="N119" s="89">
        <f t="shared" si="6"/>
        <v>0</v>
      </c>
      <c r="O119" s="89">
        <f t="shared" si="6"/>
        <v>0</v>
      </c>
      <c r="P119" s="89">
        <f t="shared" si="6"/>
        <v>0</v>
      </c>
      <c r="Q119" s="89">
        <f t="shared" si="6"/>
        <v>0</v>
      </c>
      <c r="R119" s="89">
        <f t="shared" si="6"/>
        <v>0</v>
      </c>
      <c r="S119" s="89">
        <f t="shared" si="6"/>
        <v>0</v>
      </c>
      <c r="T119" s="89">
        <f t="shared" si="6"/>
        <v>0</v>
      </c>
      <c r="U119" s="89">
        <f t="shared" si="6"/>
        <v>66978</v>
      </c>
      <c r="V119" s="89">
        <f t="shared" si="6"/>
        <v>66978</v>
      </c>
      <c r="W119" s="92">
        <f>+V119*2</f>
        <v>133956</v>
      </c>
    </row>
    <row r="121" spans="1:23" ht="15" customHeight="1" x14ac:dyDescent="0.25">
      <c r="A121" s="90">
        <v>45839</v>
      </c>
    </row>
    <row r="122" spans="1:23" ht="15" customHeight="1" x14ac:dyDescent="0.25">
      <c r="A122" s="3" t="s">
        <v>17</v>
      </c>
      <c r="B122" s="1" t="s">
        <v>18</v>
      </c>
      <c r="C122" s="1" t="s">
        <v>19</v>
      </c>
      <c r="D122" s="1" t="s">
        <v>20</v>
      </c>
      <c r="E122" s="1" t="s">
        <v>21</v>
      </c>
      <c r="F122" s="49" t="s">
        <v>202</v>
      </c>
      <c r="G122" s="49">
        <v>3800</v>
      </c>
      <c r="H122" s="49">
        <v>3800</v>
      </c>
      <c r="I122" s="49" t="s">
        <v>261</v>
      </c>
      <c r="J122" s="49" t="s">
        <v>261</v>
      </c>
      <c r="K122" s="49">
        <v>256.5</v>
      </c>
      <c r="L122" s="49">
        <v>256.5</v>
      </c>
      <c r="M122" s="49">
        <v>3800</v>
      </c>
      <c r="N122" s="49">
        <v>3800</v>
      </c>
      <c r="O122" s="49" t="s">
        <v>261</v>
      </c>
      <c r="P122" s="49"/>
      <c r="Q122" s="49" t="s">
        <v>261</v>
      </c>
      <c r="R122" s="49" t="s">
        <v>261</v>
      </c>
      <c r="S122" s="49" t="s">
        <v>261</v>
      </c>
      <c r="T122" s="49" t="s">
        <v>261</v>
      </c>
      <c r="U122" s="49">
        <v>7600</v>
      </c>
      <c r="V122" s="49">
        <v>7600</v>
      </c>
      <c r="W122" s="49"/>
    </row>
    <row r="123" spans="1:23" ht="15" customHeight="1" x14ac:dyDescent="0.25">
      <c r="A123" s="3" t="s">
        <v>17</v>
      </c>
      <c r="B123" s="1" t="s">
        <v>33</v>
      </c>
      <c r="C123" s="1" t="s">
        <v>19</v>
      </c>
      <c r="D123" s="1" t="s">
        <v>25</v>
      </c>
      <c r="E123" s="1" t="s">
        <v>34</v>
      </c>
      <c r="F123" s="49" t="s">
        <v>202</v>
      </c>
      <c r="G123" s="49">
        <v>10000</v>
      </c>
      <c r="H123" s="49">
        <v>10000</v>
      </c>
      <c r="I123" s="49">
        <v>113</v>
      </c>
      <c r="J123" s="49">
        <v>113</v>
      </c>
      <c r="K123" s="49">
        <v>910.17</v>
      </c>
      <c r="L123" s="49">
        <v>910.17</v>
      </c>
      <c r="M123" s="49">
        <v>10113</v>
      </c>
      <c r="N123" s="49">
        <v>10113</v>
      </c>
      <c r="O123" s="49" t="s">
        <v>261</v>
      </c>
      <c r="P123" s="49" t="s">
        <v>261</v>
      </c>
      <c r="Q123" s="49" t="s">
        <v>261</v>
      </c>
      <c r="R123" s="49" t="s">
        <v>261</v>
      </c>
      <c r="S123" s="49" t="s">
        <v>261</v>
      </c>
      <c r="T123" s="49" t="s">
        <v>261</v>
      </c>
      <c r="U123" s="49">
        <v>20226</v>
      </c>
      <c r="V123" s="49">
        <v>20226</v>
      </c>
      <c r="W123" s="49"/>
    </row>
    <row r="124" spans="1:23" ht="15" customHeight="1" x14ac:dyDescent="0.25">
      <c r="A124" s="3" t="s">
        <v>17</v>
      </c>
      <c r="B124" s="1" t="s">
        <v>24</v>
      </c>
      <c r="C124" s="1" t="s">
        <v>19</v>
      </c>
      <c r="D124" s="1" t="s">
        <v>25</v>
      </c>
      <c r="E124" s="1" t="s">
        <v>26</v>
      </c>
      <c r="F124" s="49" t="s">
        <v>202</v>
      </c>
      <c r="G124" s="49">
        <v>15000</v>
      </c>
      <c r="H124" s="49">
        <v>15000</v>
      </c>
      <c r="I124" s="49" t="s">
        <v>261</v>
      </c>
      <c r="J124" s="49" t="s">
        <v>261</v>
      </c>
      <c r="K124" s="49">
        <v>1012.5</v>
      </c>
      <c r="L124" s="49">
        <v>1012.5</v>
      </c>
      <c r="M124" s="49">
        <v>15000</v>
      </c>
      <c r="N124" s="49">
        <v>15000</v>
      </c>
      <c r="O124" s="49" t="s">
        <v>261</v>
      </c>
      <c r="P124" s="49" t="s">
        <v>261</v>
      </c>
      <c r="Q124" s="49" t="s">
        <v>261</v>
      </c>
      <c r="R124" s="49" t="s">
        <v>261</v>
      </c>
      <c r="S124" s="49" t="s">
        <v>261</v>
      </c>
      <c r="T124" s="49" t="s">
        <v>261</v>
      </c>
      <c r="U124" s="49">
        <v>30000</v>
      </c>
      <c r="V124" s="49">
        <v>30000</v>
      </c>
      <c r="W124" s="49"/>
    </row>
    <row r="125" spans="1:23" ht="15" customHeight="1" x14ac:dyDescent="0.25">
      <c r="A125" s="3" t="s">
        <v>17</v>
      </c>
      <c r="B125" s="1" t="s">
        <v>55</v>
      </c>
      <c r="C125" s="1" t="s">
        <v>56</v>
      </c>
      <c r="D125" s="1" t="s">
        <v>28</v>
      </c>
      <c r="E125" s="1" t="s">
        <v>57</v>
      </c>
      <c r="F125" s="49" t="s">
        <v>202</v>
      </c>
      <c r="G125" s="49">
        <v>3500</v>
      </c>
      <c r="H125" s="49">
        <v>3500</v>
      </c>
      <c r="I125" s="49" t="s">
        <v>261</v>
      </c>
      <c r="J125" s="49" t="s">
        <v>261</v>
      </c>
      <c r="K125" s="49">
        <v>236.25</v>
      </c>
      <c r="L125" s="49">
        <v>236.25</v>
      </c>
      <c r="M125" s="49">
        <v>3500</v>
      </c>
      <c r="N125" s="49">
        <v>3500</v>
      </c>
      <c r="O125" s="49" t="s">
        <v>261</v>
      </c>
      <c r="P125" s="49" t="s">
        <v>261</v>
      </c>
      <c r="Q125" s="49" t="s">
        <v>261</v>
      </c>
      <c r="R125" s="49" t="s">
        <v>261</v>
      </c>
      <c r="S125" s="49" t="s">
        <v>261</v>
      </c>
      <c r="T125" s="49" t="s">
        <v>261</v>
      </c>
      <c r="U125" s="49">
        <v>7000</v>
      </c>
      <c r="V125" s="49">
        <v>7000</v>
      </c>
      <c r="W125" s="49"/>
    </row>
    <row r="126" spans="1:23" ht="15" customHeight="1" x14ac:dyDescent="0.25">
      <c r="A126" s="3" t="s">
        <v>17</v>
      </c>
      <c r="B126" s="1" t="s">
        <v>47</v>
      </c>
      <c r="C126" s="1" t="s">
        <v>48</v>
      </c>
      <c r="D126" s="1" t="s">
        <v>49</v>
      </c>
      <c r="E126" s="1" t="s">
        <v>50</v>
      </c>
      <c r="F126" s="49" t="s">
        <v>202</v>
      </c>
      <c r="G126" s="49">
        <v>3800</v>
      </c>
      <c r="H126" s="49">
        <v>3800</v>
      </c>
      <c r="I126" s="49" t="s">
        <v>261</v>
      </c>
      <c r="J126" s="49" t="s">
        <v>261</v>
      </c>
      <c r="K126" s="49">
        <v>256.5</v>
      </c>
      <c r="L126" s="49">
        <v>256.5</v>
      </c>
      <c r="M126" s="49">
        <v>3800</v>
      </c>
      <c r="N126" s="49">
        <v>3800</v>
      </c>
      <c r="O126" s="49" t="s">
        <v>261</v>
      </c>
      <c r="P126" s="49" t="s">
        <v>261</v>
      </c>
      <c r="Q126" s="49" t="s">
        <v>261</v>
      </c>
      <c r="R126" s="49" t="s">
        <v>261</v>
      </c>
      <c r="S126" s="49" t="s">
        <v>261</v>
      </c>
      <c r="T126" s="49" t="s">
        <v>261</v>
      </c>
      <c r="U126" s="49">
        <v>7600</v>
      </c>
      <c r="V126" s="49">
        <v>7600</v>
      </c>
      <c r="W126" s="49"/>
    </row>
    <row r="127" spans="1:23" ht="15" customHeight="1" x14ac:dyDescent="0.25">
      <c r="A127" s="3" t="s">
        <v>17</v>
      </c>
      <c r="B127" s="1" t="s">
        <v>58</v>
      </c>
      <c r="C127" s="1" t="s">
        <v>49</v>
      </c>
      <c r="D127" s="1" t="s">
        <v>59</v>
      </c>
      <c r="E127" s="1" t="s">
        <v>60</v>
      </c>
      <c r="F127" s="49" t="s">
        <v>202</v>
      </c>
      <c r="G127" s="49">
        <v>3803.77</v>
      </c>
      <c r="H127" s="49">
        <v>3803.77</v>
      </c>
      <c r="I127" s="49">
        <v>109.23</v>
      </c>
      <c r="J127" s="49">
        <v>109.23</v>
      </c>
      <c r="K127" s="49">
        <v>352.17</v>
      </c>
      <c r="L127" s="49">
        <v>352.17</v>
      </c>
      <c r="M127" s="49">
        <v>3913</v>
      </c>
      <c r="N127" s="49">
        <v>3913</v>
      </c>
      <c r="O127" s="49" t="s">
        <v>261</v>
      </c>
      <c r="P127" s="49" t="s">
        <v>261</v>
      </c>
      <c r="Q127" s="49" t="s">
        <v>261</v>
      </c>
      <c r="R127" s="49" t="s">
        <v>261</v>
      </c>
      <c r="S127" s="49" t="s">
        <v>261</v>
      </c>
      <c r="T127" s="49" t="s">
        <v>261</v>
      </c>
      <c r="U127" s="49">
        <v>7826</v>
      </c>
      <c r="V127" s="49">
        <v>7826</v>
      </c>
      <c r="W127" s="49"/>
    </row>
    <row r="128" spans="1:23" ht="15" customHeight="1" x14ac:dyDescent="0.25">
      <c r="A128" s="3" t="s">
        <v>17</v>
      </c>
      <c r="B128" s="1" t="s">
        <v>35</v>
      </c>
      <c r="C128" s="1" t="s">
        <v>36</v>
      </c>
      <c r="D128" s="1" t="s">
        <v>37</v>
      </c>
      <c r="E128" s="1" t="s">
        <v>38</v>
      </c>
      <c r="F128" s="49" t="s">
        <v>202</v>
      </c>
      <c r="G128" s="49">
        <v>2801.7</v>
      </c>
      <c r="H128" s="49">
        <v>2801.7</v>
      </c>
      <c r="I128" s="49">
        <v>11.3</v>
      </c>
      <c r="J128" s="49">
        <v>11.3</v>
      </c>
      <c r="K128" s="49">
        <v>253.17</v>
      </c>
      <c r="L128" s="49">
        <v>253.17</v>
      </c>
      <c r="M128" s="49">
        <v>2813</v>
      </c>
      <c r="N128" s="49">
        <v>2813</v>
      </c>
      <c r="O128" s="49" t="s">
        <v>261</v>
      </c>
      <c r="P128" s="49" t="s">
        <v>261</v>
      </c>
      <c r="Q128" s="49" t="s">
        <v>261</v>
      </c>
      <c r="R128" s="49" t="s">
        <v>261</v>
      </c>
      <c r="S128" s="49" t="s">
        <v>261</v>
      </c>
      <c r="T128" s="49" t="s">
        <v>261</v>
      </c>
      <c r="U128" s="49">
        <v>5626</v>
      </c>
      <c r="V128" s="49">
        <v>5626</v>
      </c>
      <c r="W128" s="49"/>
    </row>
    <row r="129" spans="1:25" ht="15" customHeight="1" x14ac:dyDescent="0.25">
      <c r="A129" s="3" t="s">
        <v>17</v>
      </c>
      <c r="B129" s="1" t="s">
        <v>27</v>
      </c>
      <c r="C129" s="1" t="s">
        <v>28</v>
      </c>
      <c r="D129" s="1" t="s">
        <v>29</v>
      </c>
      <c r="E129" s="1" t="s">
        <v>30</v>
      </c>
      <c r="F129" s="49" t="s">
        <v>202</v>
      </c>
      <c r="G129" s="49">
        <v>3546.67</v>
      </c>
      <c r="H129" s="49">
        <v>3546.67</v>
      </c>
      <c r="I129" s="49">
        <v>113</v>
      </c>
      <c r="J129" s="49">
        <v>113</v>
      </c>
      <c r="K129" s="49">
        <v>352.17</v>
      </c>
      <c r="L129" s="49">
        <v>352.17</v>
      </c>
      <c r="M129" s="49">
        <v>3913</v>
      </c>
      <c r="N129" s="49">
        <v>3913</v>
      </c>
      <c r="O129" s="49" t="s">
        <v>261</v>
      </c>
      <c r="P129" s="49" t="s">
        <v>261</v>
      </c>
      <c r="Q129" s="49">
        <v>253.33</v>
      </c>
      <c r="R129" s="49">
        <v>253.33</v>
      </c>
      <c r="S129" s="49" t="s">
        <v>261</v>
      </c>
      <c r="T129" s="49" t="s">
        <v>261</v>
      </c>
      <c r="U129" s="49">
        <v>7826</v>
      </c>
      <c r="V129" s="49">
        <v>7826</v>
      </c>
      <c r="W129" s="49"/>
    </row>
    <row r="130" spans="1:25" ht="15" customHeight="1" x14ac:dyDescent="0.25">
      <c r="A130" s="3" t="s">
        <v>17</v>
      </c>
      <c r="B130" s="1" t="s">
        <v>39</v>
      </c>
      <c r="C130" s="1" t="s">
        <v>40</v>
      </c>
      <c r="D130" s="1" t="s">
        <v>41</v>
      </c>
      <c r="E130" s="1" t="s">
        <v>42</v>
      </c>
      <c r="F130" s="49" t="s">
        <v>202</v>
      </c>
      <c r="G130" s="49">
        <v>1066.67</v>
      </c>
      <c r="H130" s="49">
        <v>1066.67</v>
      </c>
      <c r="I130" s="49" t="s">
        <v>261</v>
      </c>
      <c r="J130" s="49" t="s">
        <v>261</v>
      </c>
      <c r="K130" s="49">
        <v>216</v>
      </c>
      <c r="L130" s="49">
        <v>216</v>
      </c>
      <c r="M130" s="49">
        <v>3200</v>
      </c>
      <c r="N130" s="49">
        <v>3200</v>
      </c>
      <c r="O130" s="49" t="s">
        <v>261</v>
      </c>
      <c r="P130" s="49" t="s">
        <v>261</v>
      </c>
      <c r="Q130" s="49">
        <v>2133.33</v>
      </c>
      <c r="R130" s="49">
        <v>2133.33</v>
      </c>
      <c r="S130" s="49" t="s">
        <v>261</v>
      </c>
      <c r="T130" s="49" t="s">
        <v>261</v>
      </c>
      <c r="U130" s="49">
        <v>6400</v>
      </c>
      <c r="V130" s="49">
        <v>6400</v>
      </c>
      <c r="W130" s="49"/>
    </row>
    <row r="131" spans="1:25" ht="15" customHeight="1" x14ac:dyDescent="0.25">
      <c r="A131" s="3" t="s">
        <v>17</v>
      </c>
      <c r="B131" s="1" t="s">
        <v>43</v>
      </c>
      <c r="C131" s="1" t="s">
        <v>44</v>
      </c>
      <c r="D131" s="1" t="s">
        <v>45</v>
      </c>
      <c r="E131" s="1" t="s">
        <v>46</v>
      </c>
      <c r="F131" s="49" t="s">
        <v>202</v>
      </c>
      <c r="G131" s="49">
        <v>2800</v>
      </c>
      <c r="H131" s="49">
        <v>2800</v>
      </c>
      <c r="I131" s="49">
        <v>113</v>
      </c>
      <c r="J131" s="49">
        <v>113</v>
      </c>
      <c r="K131" s="49">
        <v>262.17</v>
      </c>
      <c r="L131" s="49">
        <v>262.17</v>
      </c>
      <c r="M131" s="49">
        <v>2913</v>
      </c>
      <c r="N131" s="49">
        <v>2913</v>
      </c>
      <c r="O131" s="49" t="s">
        <v>261</v>
      </c>
      <c r="P131" s="49" t="s">
        <v>261</v>
      </c>
      <c r="Q131" s="49" t="s">
        <v>261</v>
      </c>
      <c r="R131" s="49" t="s">
        <v>261</v>
      </c>
      <c r="S131" s="49" t="s">
        <v>261</v>
      </c>
      <c r="T131" s="49" t="s">
        <v>261</v>
      </c>
      <c r="U131" s="49">
        <v>5826</v>
      </c>
      <c r="V131" s="49">
        <v>5826</v>
      </c>
      <c r="W131" s="49"/>
    </row>
    <row r="132" spans="1:25" ht="15" customHeight="1" x14ac:dyDescent="0.25">
      <c r="A132" s="3" t="s">
        <v>17</v>
      </c>
      <c r="B132" s="1" t="s">
        <v>72</v>
      </c>
      <c r="C132" s="1" t="s">
        <v>28</v>
      </c>
      <c r="D132" s="1" t="s">
        <v>73</v>
      </c>
      <c r="E132" s="1" t="s">
        <v>74</v>
      </c>
      <c r="F132" s="49" t="s">
        <v>202</v>
      </c>
      <c r="G132" s="49">
        <v>2500</v>
      </c>
      <c r="H132" s="49">
        <v>2500</v>
      </c>
      <c r="I132" s="49" t="s">
        <v>261</v>
      </c>
      <c r="J132" s="49" t="s">
        <v>261</v>
      </c>
      <c r="K132" s="49">
        <v>168.75</v>
      </c>
      <c r="L132" s="49">
        <v>168.75</v>
      </c>
      <c r="M132" s="49">
        <v>2500</v>
      </c>
      <c r="N132" s="49">
        <v>2500</v>
      </c>
      <c r="O132" s="49" t="s">
        <v>261</v>
      </c>
      <c r="P132" s="49" t="s">
        <v>261</v>
      </c>
      <c r="Q132" s="49" t="s">
        <v>261</v>
      </c>
      <c r="R132" s="49" t="s">
        <v>261</v>
      </c>
      <c r="S132" s="49" t="s">
        <v>261</v>
      </c>
      <c r="T132" s="49" t="s">
        <v>261</v>
      </c>
      <c r="U132" s="49">
        <v>5000</v>
      </c>
      <c r="V132" s="49">
        <v>5000</v>
      </c>
      <c r="W132" s="49"/>
    </row>
    <row r="133" spans="1:25" ht="15" customHeight="1" x14ac:dyDescent="0.25">
      <c r="A133" s="3" t="s">
        <v>17</v>
      </c>
      <c r="B133" s="1" t="s">
        <v>51</v>
      </c>
      <c r="C133" s="1" t="s">
        <v>52</v>
      </c>
      <c r="D133" s="1" t="s">
        <v>53</v>
      </c>
      <c r="E133" s="1" t="s">
        <v>54</v>
      </c>
      <c r="F133" s="49" t="s">
        <v>202</v>
      </c>
      <c r="G133" s="49">
        <v>2700</v>
      </c>
      <c r="H133" s="49">
        <v>2700</v>
      </c>
      <c r="I133" s="49" t="s">
        <v>261</v>
      </c>
      <c r="J133" s="49" t="s">
        <v>261</v>
      </c>
      <c r="K133" s="49">
        <v>182.25</v>
      </c>
      <c r="L133" s="49">
        <v>182.25</v>
      </c>
      <c r="M133" s="49">
        <v>2700</v>
      </c>
      <c r="N133" s="49">
        <v>2700</v>
      </c>
      <c r="O133" s="49" t="s">
        <v>261</v>
      </c>
      <c r="P133" s="49" t="s">
        <v>261</v>
      </c>
      <c r="Q133" s="49" t="s">
        <v>261</v>
      </c>
      <c r="R133" s="49" t="s">
        <v>261</v>
      </c>
      <c r="S133" s="49" t="s">
        <v>261</v>
      </c>
      <c r="T133" s="49" t="s">
        <v>261</v>
      </c>
      <c r="U133" s="49">
        <v>5400</v>
      </c>
      <c r="V133" s="49">
        <v>5400</v>
      </c>
      <c r="W133" s="49"/>
    </row>
    <row r="134" spans="1:25" ht="15" customHeight="1" x14ac:dyDescent="0.25">
      <c r="A134" s="3" t="s">
        <v>17</v>
      </c>
      <c r="B134" s="1" t="s">
        <v>65</v>
      </c>
      <c r="C134" s="1" t="s">
        <v>66</v>
      </c>
      <c r="D134" s="1" t="s">
        <v>67</v>
      </c>
      <c r="E134" s="1" t="s">
        <v>38</v>
      </c>
      <c r="F134" s="49" t="s">
        <v>202</v>
      </c>
      <c r="G134" s="49">
        <v>2800</v>
      </c>
      <c r="H134" s="49">
        <v>2800</v>
      </c>
      <c r="I134" s="49">
        <v>113</v>
      </c>
      <c r="J134" s="49">
        <v>113</v>
      </c>
      <c r="K134" s="49">
        <v>280.17</v>
      </c>
      <c r="L134" s="49">
        <v>280.17</v>
      </c>
      <c r="M134" s="49">
        <v>3113</v>
      </c>
      <c r="N134" s="49">
        <v>3113</v>
      </c>
      <c r="O134" s="49" t="s">
        <v>261</v>
      </c>
      <c r="P134" s="49" t="s">
        <v>261</v>
      </c>
      <c r="Q134" s="49">
        <v>200</v>
      </c>
      <c r="R134" s="49">
        <v>200</v>
      </c>
      <c r="S134" s="49" t="s">
        <v>261</v>
      </c>
      <c r="T134" s="49" t="s">
        <v>261</v>
      </c>
      <c r="U134" s="49">
        <v>6226</v>
      </c>
      <c r="V134" s="49">
        <v>6226</v>
      </c>
      <c r="W134" s="49"/>
    </row>
    <row r="135" spans="1:25" ht="15" customHeight="1" x14ac:dyDescent="0.25">
      <c r="A135" s="3" t="s">
        <v>17</v>
      </c>
      <c r="B135" s="1" t="s">
        <v>61</v>
      </c>
      <c r="C135" s="1" t="s">
        <v>62</v>
      </c>
      <c r="D135" s="1" t="s">
        <v>63</v>
      </c>
      <c r="E135" s="1" t="s">
        <v>64</v>
      </c>
      <c r="F135" s="49" t="s">
        <v>202</v>
      </c>
      <c r="G135" s="49">
        <v>3840</v>
      </c>
      <c r="H135" s="49">
        <v>3840</v>
      </c>
      <c r="I135" s="49" t="s">
        <v>261</v>
      </c>
      <c r="J135" s="49" t="s">
        <v>261</v>
      </c>
      <c r="K135" s="49">
        <v>216</v>
      </c>
      <c r="L135" s="49">
        <v>216</v>
      </c>
      <c r="M135" s="49">
        <v>3200</v>
      </c>
      <c r="N135" s="49">
        <v>3200</v>
      </c>
      <c r="O135" s="49" t="s">
        <v>261</v>
      </c>
      <c r="P135" s="49" t="s">
        <v>261</v>
      </c>
      <c r="Q135" s="49" t="s">
        <v>261</v>
      </c>
      <c r="R135" s="49" t="s">
        <v>261</v>
      </c>
      <c r="S135" s="49" t="s">
        <v>261</v>
      </c>
      <c r="T135" s="49" t="s">
        <v>261</v>
      </c>
      <c r="U135" s="49">
        <v>7040</v>
      </c>
      <c r="V135" s="93">
        <v>7040</v>
      </c>
      <c r="W135" s="49"/>
      <c r="Y135" s="49"/>
    </row>
    <row r="136" spans="1:25" ht="15" customHeight="1" x14ac:dyDescent="0.25">
      <c r="A136" s="3" t="s">
        <v>17</v>
      </c>
      <c r="B136" s="1" t="s">
        <v>68</v>
      </c>
      <c r="C136" s="1" t="s">
        <v>69</v>
      </c>
      <c r="D136" s="1" t="s">
        <v>70</v>
      </c>
      <c r="E136" s="1" t="s">
        <v>71</v>
      </c>
      <c r="F136" s="49" t="s">
        <v>202</v>
      </c>
      <c r="G136" s="49">
        <v>2500</v>
      </c>
      <c r="H136" s="49">
        <v>2500</v>
      </c>
      <c r="I136" s="49" t="s">
        <v>261</v>
      </c>
      <c r="J136" s="49" t="s">
        <v>261</v>
      </c>
      <c r="K136" s="49">
        <v>168.75</v>
      </c>
      <c r="L136" s="49">
        <v>168.75</v>
      </c>
      <c r="M136" s="49">
        <v>2500</v>
      </c>
      <c r="N136" s="49">
        <v>2500</v>
      </c>
      <c r="O136" s="49" t="s">
        <v>261</v>
      </c>
      <c r="P136" s="49" t="s">
        <v>261</v>
      </c>
      <c r="Q136" s="49" t="s">
        <v>261</v>
      </c>
      <c r="R136" s="49" t="s">
        <v>261</v>
      </c>
      <c r="S136" s="49" t="s">
        <v>261</v>
      </c>
      <c r="T136" s="49" t="s">
        <v>261</v>
      </c>
      <c r="U136" s="49">
        <v>5000</v>
      </c>
      <c r="V136" s="49">
        <v>5000</v>
      </c>
      <c r="W136" s="49"/>
    </row>
    <row r="137" spans="1:25" ht="15" customHeight="1" x14ac:dyDescent="0.25">
      <c r="G137" s="89">
        <f t="shared" ref="G137:V137" si="7">SUM(G122:G136)</f>
        <v>64458.80999999999</v>
      </c>
      <c r="H137" s="89">
        <f t="shared" si="7"/>
        <v>64458.80999999999</v>
      </c>
      <c r="I137" s="89">
        <f t="shared" si="7"/>
        <v>572.53</v>
      </c>
      <c r="J137" s="89">
        <f t="shared" si="7"/>
        <v>572.53</v>
      </c>
      <c r="K137" s="89">
        <f t="shared" si="7"/>
        <v>5123.5200000000004</v>
      </c>
      <c r="L137" s="89">
        <f t="shared" si="7"/>
        <v>5123.5200000000004</v>
      </c>
      <c r="M137" s="89">
        <f t="shared" si="7"/>
        <v>66978</v>
      </c>
      <c r="N137" s="89">
        <f t="shared" si="7"/>
        <v>66978</v>
      </c>
      <c r="O137" s="89">
        <f t="shared" si="7"/>
        <v>0</v>
      </c>
      <c r="P137" s="89">
        <f t="shared" si="7"/>
        <v>0</v>
      </c>
      <c r="Q137" s="89">
        <f t="shared" si="7"/>
        <v>2586.66</v>
      </c>
      <c r="R137" s="89">
        <f t="shared" si="7"/>
        <v>2586.66</v>
      </c>
      <c r="S137" s="89">
        <f t="shared" si="7"/>
        <v>0</v>
      </c>
      <c r="T137" s="89">
        <f t="shared" si="7"/>
        <v>0</v>
      </c>
      <c r="U137" s="89">
        <f t="shared" si="7"/>
        <v>134596</v>
      </c>
      <c r="V137" s="89">
        <f t="shared" si="7"/>
        <v>134596</v>
      </c>
      <c r="W137" s="49"/>
      <c r="X137" s="49"/>
    </row>
    <row r="139" spans="1:25" ht="15" customHeight="1" x14ac:dyDescent="0.25">
      <c r="A139" s="90">
        <v>45870</v>
      </c>
      <c r="L139" s="1">
        <f>3800*6.75%</f>
        <v>256.5</v>
      </c>
      <c r="N139" s="49"/>
    </row>
    <row r="140" spans="1:25" ht="15" customHeight="1" x14ac:dyDescent="0.25">
      <c r="A140" s="3" t="s">
        <v>17</v>
      </c>
      <c r="B140" s="1" t="s">
        <v>18</v>
      </c>
      <c r="C140" s="1" t="s">
        <v>19</v>
      </c>
      <c r="D140" s="1" t="s">
        <v>20</v>
      </c>
      <c r="E140" s="1" t="s">
        <v>21</v>
      </c>
      <c r="F140" s="49" t="s">
        <v>202</v>
      </c>
      <c r="G140" s="49">
        <v>3800</v>
      </c>
      <c r="H140" s="49">
        <v>3800</v>
      </c>
      <c r="I140" s="49" t="s">
        <v>261</v>
      </c>
      <c r="J140" s="49" t="s">
        <v>261</v>
      </c>
      <c r="K140" s="49" t="s">
        <v>261</v>
      </c>
      <c r="L140" s="49" t="s">
        <v>261</v>
      </c>
      <c r="M140" s="49" t="s">
        <v>261</v>
      </c>
      <c r="N140" s="49"/>
      <c r="O140" s="49" t="s">
        <v>261</v>
      </c>
      <c r="P140" s="49" t="s">
        <v>261</v>
      </c>
      <c r="Q140" s="49" t="s">
        <v>261</v>
      </c>
      <c r="R140" s="49" t="s">
        <v>261</v>
      </c>
      <c r="S140" s="49" t="s">
        <v>261</v>
      </c>
      <c r="T140" s="49" t="s">
        <v>261</v>
      </c>
      <c r="U140" s="49">
        <v>3800</v>
      </c>
      <c r="V140" s="49">
        <v>3800</v>
      </c>
    </row>
    <row r="141" spans="1:25" ht="15" customHeight="1" x14ac:dyDescent="0.25">
      <c r="A141" s="3" t="s">
        <v>17</v>
      </c>
      <c r="B141" s="1" t="s">
        <v>33</v>
      </c>
      <c r="C141" s="1" t="s">
        <v>19</v>
      </c>
      <c r="D141" s="1" t="s">
        <v>25</v>
      </c>
      <c r="E141" s="1" t="s">
        <v>34</v>
      </c>
      <c r="F141" s="49" t="s">
        <v>202</v>
      </c>
      <c r="G141" s="49">
        <v>10000</v>
      </c>
      <c r="H141" s="49">
        <v>10000</v>
      </c>
      <c r="I141" s="49">
        <v>113</v>
      </c>
      <c r="J141" s="49">
        <v>113</v>
      </c>
      <c r="K141" s="49" t="s">
        <v>261</v>
      </c>
      <c r="L141" s="49" t="s">
        <v>261</v>
      </c>
      <c r="M141" s="49" t="s">
        <v>261</v>
      </c>
      <c r="N141" s="49"/>
      <c r="O141" s="49" t="s">
        <v>261</v>
      </c>
      <c r="P141" s="49" t="s">
        <v>261</v>
      </c>
      <c r="Q141" s="49" t="s">
        <v>261</v>
      </c>
      <c r="R141" s="49" t="s">
        <v>261</v>
      </c>
      <c r="S141" s="49" t="s">
        <v>261</v>
      </c>
      <c r="T141" s="49" t="s">
        <v>261</v>
      </c>
      <c r="U141" s="49">
        <v>10113</v>
      </c>
      <c r="V141" s="49">
        <v>10113</v>
      </c>
    </row>
    <row r="142" spans="1:25" ht="15" customHeight="1" x14ac:dyDescent="0.25">
      <c r="A142" s="3" t="s">
        <v>17</v>
      </c>
      <c r="B142" s="1" t="s">
        <v>24</v>
      </c>
      <c r="C142" s="1" t="s">
        <v>19</v>
      </c>
      <c r="D142" s="1" t="s">
        <v>25</v>
      </c>
      <c r="E142" s="1" t="s">
        <v>26</v>
      </c>
      <c r="F142" s="49" t="s">
        <v>202</v>
      </c>
      <c r="G142" s="49">
        <v>15000</v>
      </c>
      <c r="H142" s="49">
        <v>15000</v>
      </c>
      <c r="I142" s="49" t="s">
        <v>261</v>
      </c>
      <c r="J142" s="49" t="s">
        <v>261</v>
      </c>
      <c r="K142" s="49" t="s">
        <v>261</v>
      </c>
      <c r="L142" s="49" t="s">
        <v>261</v>
      </c>
      <c r="M142" s="49" t="s">
        <v>261</v>
      </c>
      <c r="N142" s="49" t="s">
        <v>261</v>
      </c>
      <c r="O142" s="49" t="s">
        <v>261</v>
      </c>
      <c r="P142" s="49" t="s">
        <v>261</v>
      </c>
      <c r="Q142" s="49" t="s">
        <v>261</v>
      </c>
      <c r="R142" s="49" t="s">
        <v>261</v>
      </c>
      <c r="S142" s="49" t="s">
        <v>261</v>
      </c>
      <c r="T142" s="49" t="s">
        <v>261</v>
      </c>
      <c r="U142" s="49">
        <v>15000</v>
      </c>
      <c r="V142" s="49">
        <v>15000</v>
      </c>
    </row>
    <row r="143" spans="1:25" ht="15" customHeight="1" x14ac:dyDescent="0.25">
      <c r="A143" s="3" t="s">
        <v>17</v>
      </c>
      <c r="B143" s="1" t="s">
        <v>55</v>
      </c>
      <c r="C143" s="1" t="s">
        <v>56</v>
      </c>
      <c r="D143" s="1" t="s">
        <v>28</v>
      </c>
      <c r="E143" s="1" t="s">
        <v>57</v>
      </c>
      <c r="F143" s="49" t="s">
        <v>202</v>
      </c>
      <c r="G143" s="49">
        <v>3500</v>
      </c>
      <c r="H143" s="49">
        <v>3500</v>
      </c>
      <c r="I143" s="49" t="s">
        <v>261</v>
      </c>
      <c r="J143" s="49" t="s">
        <v>261</v>
      </c>
      <c r="K143" s="49" t="s">
        <v>261</v>
      </c>
      <c r="L143" s="49" t="s">
        <v>261</v>
      </c>
      <c r="M143" s="49" t="s">
        <v>261</v>
      </c>
      <c r="N143" s="49" t="s">
        <v>261</v>
      </c>
      <c r="O143" s="49" t="s">
        <v>261</v>
      </c>
      <c r="P143" s="49" t="s">
        <v>261</v>
      </c>
      <c r="Q143" s="49" t="s">
        <v>261</v>
      </c>
      <c r="R143" s="49" t="s">
        <v>261</v>
      </c>
      <c r="S143" s="49" t="s">
        <v>261</v>
      </c>
      <c r="T143" s="49" t="s">
        <v>261</v>
      </c>
      <c r="U143" s="49">
        <v>3500</v>
      </c>
      <c r="V143" s="49">
        <v>3500</v>
      </c>
    </row>
    <row r="144" spans="1:25" ht="15" customHeight="1" x14ac:dyDescent="0.25">
      <c r="A144" s="3" t="s">
        <v>17</v>
      </c>
      <c r="B144" s="1" t="s">
        <v>47</v>
      </c>
      <c r="C144" s="1" t="s">
        <v>48</v>
      </c>
      <c r="D144" s="1" t="s">
        <v>49</v>
      </c>
      <c r="E144" s="1" t="s">
        <v>50</v>
      </c>
      <c r="F144" s="49" t="s">
        <v>202</v>
      </c>
      <c r="G144" s="49">
        <v>3800</v>
      </c>
      <c r="H144" s="49">
        <v>3800</v>
      </c>
      <c r="I144" s="49" t="s">
        <v>261</v>
      </c>
      <c r="J144" s="49" t="s">
        <v>261</v>
      </c>
      <c r="K144" s="49" t="s">
        <v>261</v>
      </c>
      <c r="L144" s="49" t="s">
        <v>261</v>
      </c>
      <c r="M144" s="49" t="s">
        <v>261</v>
      </c>
      <c r="N144" s="49" t="s">
        <v>261</v>
      </c>
      <c r="O144" s="49" t="s">
        <v>261</v>
      </c>
      <c r="P144" s="49" t="s">
        <v>261</v>
      </c>
      <c r="Q144" s="49" t="s">
        <v>261</v>
      </c>
      <c r="R144" s="49" t="s">
        <v>261</v>
      </c>
      <c r="S144" s="49" t="s">
        <v>261</v>
      </c>
      <c r="T144" s="49" t="s">
        <v>261</v>
      </c>
      <c r="U144" s="49">
        <v>3800</v>
      </c>
      <c r="V144" s="49">
        <v>3800</v>
      </c>
    </row>
    <row r="145" spans="1:22" ht="15" customHeight="1" x14ac:dyDescent="0.25">
      <c r="A145" s="3" t="s">
        <v>17</v>
      </c>
      <c r="B145" s="1" t="s">
        <v>58</v>
      </c>
      <c r="C145" s="1" t="s">
        <v>49</v>
      </c>
      <c r="D145" s="1" t="s">
        <v>59</v>
      </c>
      <c r="E145" s="1" t="s">
        <v>60</v>
      </c>
      <c r="F145" s="49" t="s">
        <v>202</v>
      </c>
      <c r="G145" s="49">
        <v>3546.67</v>
      </c>
      <c r="H145" s="49">
        <v>3546.67</v>
      </c>
      <c r="I145" s="49">
        <v>113</v>
      </c>
      <c r="J145" s="49">
        <v>113</v>
      </c>
      <c r="K145" s="49" t="s">
        <v>261</v>
      </c>
      <c r="L145" s="49" t="s">
        <v>261</v>
      </c>
      <c r="M145" s="49" t="s">
        <v>261</v>
      </c>
      <c r="N145" s="49" t="s">
        <v>261</v>
      </c>
      <c r="O145" s="49" t="s">
        <v>261</v>
      </c>
      <c r="P145" s="49" t="s">
        <v>261</v>
      </c>
      <c r="Q145" s="49">
        <v>253.33</v>
      </c>
      <c r="R145" s="49">
        <v>253.33</v>
      </c>
      <c r="S145" s="49" t="s">
        <v>261</v>
      </c>
      <c r="T145" s="49" t="s">
        <v>261</v>
      </c>
      <c r="U145" s="49">
        <v>3913</v>
      </c>
      <c r="V145" s="49">
        <v>3913</v>
      </c>
    </row>
    <row r="146" spans="1:22" ht="15" customHeight="1" x14ac:dyDescent="0.25">
      <c r="A146" s="3" t="s">
        <v>17</v>
      </c>
      <c r="B146" s="1" t="s">
        <v>35</v>
      </c>
      <c r="C146" s="1" t="s">
        <v>36</v>
      </c>
      <c r="D146" s="1" t="s">
        <v>37</v>
      </c>
      <c r="E146" s="1" t="s">
        <v>38</v>
      </c>
      <c r="F146" s="49" t="s">
        <v>202</v>
      </c>
      <c r="G146" s="49">
        <v>2700</v>
      </c>
      <c r="H146" s="49">
        <v>2700</v>
      </c>
      <c r="I146" s="49">
        <v>113</v>
      </c>
      <c r="J146" s="49">
        <v>113</v>
      </c>
      <c r="K146" s="49" t="s">
        <v>261</v>
      </c>
      <c r="L146" s="49" t="s">
        <v>261</v>
      </c>
      <c r="M146" s="49" t="s">
        <v>261</v>
      </c>
      <c r="N146" s="49" t="s">
        <v>261</v>
      </c>
      <c r="O146" s="49" t="s">
        <v>261</v>
      </c>
      <c r="P146" s="49" t="s">
        <v>261</v>
      </c>
      <c r="Q146" s="49" t="s">
        <v>261</v>
      </c>
      <c r="R146" s="49" t="s">
        <v>261</v>
      </c>
      <c r="S146" s="49" t="s">
        <v>261</v>
      </c>
      <c r="T146" s="49" t="s">
        <v>261</v>
      </c>
      <c r="U146" s="49">
        <v>2813</v>
      </c>
      <c r="V146" s="49">
        <v>2813</v>
      </c>
    </row>
    <row r="147" spans="1:22" ht="15" customHeight="1" x14ac:dyDescent="0.25">
      <c r="A147" s="3" t="s">
        <v>17</v>
      </c>
      <c r="B147" s="1" t="s">
        <v>27</v>
      </c>
      <c r="C147" s="1" t="s">
        <v>28</v>
      </c>
      <c r="D147" s="1" t="s">
        <v>29</v>
      </c>
      <c r="E147" s="1" t="s">
        <v>30</v>
      </c>
      <c r="F147" s="49" t="s">
        <v>202</v>
      </c>
      <c r="G147" s="49">
        <v>3800</v>
      </c>
      <c r="H147" s="49">
        <v>3800</v>
      </c>
      <c r="I147" s="49">
        <v>113</v>
      </c>
      <c r="J147" s="49">
        <v>113</v>
      </c>
      <c r="K147" s="49" t="s">
        <v>261</v>
      </c>
      <c r="L147" s="49" t="s">
        <v>261</v>
      </c>
      <c r="M147" s="49" t="s">
        <v>261</v>
      </c>
      <c r="N147" s="49" t="s">
        <v>261</v>
      </c>
      <c r="O147" s="49" t="s">
        <v>261</v>
      </c>
      <c r="P147" s="49" t="s">
        <v>261</v>
      </c>
      <c r="Q147" s="49" t="s">
        <v>261</v>
      </c>
      <c r="R147" s="49" t="s">
        <v>261</v>
      </c>
      <c r="S147" s="49" t="s">
        <v>261</v>
      </c>
      <c r="T147" s="49" t="s">
        <v>261</v>
      </c>
      <c r="U147" s="49">
        <v>3913</v>
      </c>
      <c r="V147" s="49">
        <v>3913</v>
      </c>
    </row>
    <row r="148" spans="1:22" ht="15" customHeight="1" x14ac:dyDescent="0.25">
      <c r="A148" s="3" t="s">
        <v>17</v>
      </c>
      <c r="B148" s="1" t="s">
        <v>39</v>
      </c>
      <c r="C148" s="1" t="s">
        <v>40</v>
      </c>
      <c r="D148" s="1" t="s">
        <v>41</v>
      </c>
      <c r="E148" s="1" t="s">
        <v>42</v>
      </c>
      <c r="F148" s="49" t="s">
        <v>202</v>
      </c>
      <c r="G148" s="49">
        <v>3200</v>
      </c>
      <c r="H148" s="49">
        <v>3200</v>
      </c>
      <c r="I148" s="49" t="s">
        <v>261</v>
      </c>
      <c r="J148" s="49" t="s">
        <v>261</v>
      </c>
      <c r="K148" s="49" t="s">
        <v>261</v>
      </c>
      <c r="L148" s="49" t="s">
        <v>261</v>
      </c>
      <c r="M148" s="49" t="s">
        <v>261</v>
      </c>
      <c r="N148" s="49" t="s">
        <v>261</v>
      </c>
      <c r="O148" s="49" t="s">
        <v>261</v>
      </c>
      <c r="P148" s="49" t="s">
        <v>261</v>
      </c>
      <c r="Q148" s="49" t="s">
        <v>261</v>
      </c>
      <c r="R148" s="49" t="s">
        <v>261</v>
      </c>
      <c r="S148" s="49" t="s">
        <v>261</v>
      </c>
      <c r="T148" s="49" t="s">
        <v>261</v>
      </c>
      <c r="U148" s="49">
        <v>3200</v>
      </c>
      <c r="V148" s="49">
        <v>3200</v>
      </c>
    </row>
    <row r="149" spans="1:22" ht="15" customHeight="1" x14ac:dyDescent="0.25">
      <c r="A149" s="3" t="s">
        <v>17</v>
      </c>
      <c r="B149" s="1" t="s">
        <v>43</v>
      </c>
      <c r="C149" s="1" t="s">
        <v>44</v>
      </c>
      <c r="D149" s="1" t="s">
        <v>45</v>
      </c>
      <c r="E149" s="1" t="s">
        <v>46</v>
      </c>
      <c r="F149" s="49" t="s">
        <v>202</v>
      </c>
      <c r="G149" s="49">
        <v>2800</v>
      </c>
      <c r="H149" s="49">
        <v>2800</v>
      </c>
      <c r="I149" s="49">
        <v>113</v>
      </c>
      <c r="J149" s="49">
        <v>113</v>
      </c>
      <c r="K149" s="49" t="s">
        <v>261</v>
      </c>
      <c r="L149" s="49" t="s">
        <v>261</v>
      </c>
      <c r="M149" s="49" t="s">
        <v>261</v>
      </c>
      <c r="N149" s="49" t="s">
        <v>261</v>
      </c>
      <c r="O149" s="49" t="s">
        <v>261</v>
      </c>
      <c r="P149" s="49" t="s">
        <v>261</v>
      </c>
      <c r="Q149" s="49" t="s">
        <v>261</v>
      </c>
      <c r="R149" s="49" t="s">
        <v>261</v>
      </c>
      <c r="S149" s="49" t="s">
        <v>261</v>
      </c>
      <c r="T149" s="49" t="s">
        <v>261</v>
      </c>
      <c r="U149" s="49">
        <v>2913</v>
      </c>
      <c r="V149" s="49">
        <v>2913</v>
      </c>
    </row>
    <row r="150" spans="1:22" ht="15" customHeight="1" x14ac:dyDescent="0.25">
      <c r="A150" s="3" t="s">
        <v>17</v>
      </c>
      <c r="B150" s="1" t="s">
        <v>72</v>
      </c>
      <c r="C150" s="1" t="s">
        <v>28</v>
      </c>
      <c r="D150" s="1" t="s">
        <v>73</v>
      </c>
      <c r="E150" s="1" t="s">
        <v>74</v>
      </c>
      <c r="F150" s="49" t="s">
        <v>202</v>
      </c>
      <c r="G150" s="49">
        <v>2500</v>
      </c>
      <c r="H150" s="49">
        <v>2500</v>
      </c>
      <c r="I150" s="49" t="s">
        <v>261</v>
      </c>
      <c r="J150" s="49" t="s">
        <v>261</v>
      </c>
      <c r="K150" s="49" t="s">
        <v>261</v>
      </c>
      <c r="L150" s="49" t="s">
        <v>261</v>
      </c>
      <c r="M150" s="49" t="s">
        <v>261</v>
      </c>
      <c r="N150" s="49" t="s">
        <v>261</v>
      </c>
      <c r="O150" s="49" t="s">
        <v>261</v>
      </c>
      <c r="P150" s="49" t="s">
        <v>261</v>
      </c>
      <c r="Q150" s="49" t="s">
        <v>261</v>
      </c>
      <c r="R150" s="49" t="s">
        <v>261</v>
      </c>
      <c r="S150" s="49" t="s">
        <v>261</v>
      </c>
      <c r="T150" s="49" t="s">
        <v>261</v>
      </c>
      <c r="U150" s="49">
        <v>2500</v>
      </c>
      <c r="V150" s="49">
        <v>2500</v>
      </c>
    </row>
    <row r="151" spans="1:22" ht="15" customHeight="1" x14ac:dyDescent="0.25">
      <c r="A151" s="3" t="s">
        <v>17</v>
      </c>
      <c r="B151" s="1" t="s">
        <v>51</v>
      </c>
      <c r="C151" s="1" t="s">
        <v>52</v>
      </c>
      <c r="D151" s="1" t="s">
        <v>53</v>
      </c>
      <c r="E151" s="1" t="s">
        <v>54</v>
      </c>
      <c r="F151" s="49" t="s">
        <v>202</v>
      </c>
      <c r="G151" s="49">
        <v>2700</v>
      </c>
      <c r="H151" s="49">
        <v>2700</v>
      </c>
      <c r="I151" s="49" t="s">
        <v>261</v>
      </c>
      <c r="J151" s="49" t="s">
        <v>261</v>
      </c>
      <c r="K151" s="49" t="s">
        <v>261</v>
      </c>
      <c r="L151" s="49" t="s">
        <v>261</v>
      </c>
      <c r="M151" s="49" t="s">
        <v>261</v>
      </c>
      <c r="N151" s="49" t="s">
        <v>261</v>
      </c>
      <c r="O151" s="49" t="s">
        <v>261</v>
      </c>
      <c r="P151" s="49" t="s">
        <v>261</v>
      </c>
      <c r="Q151" s="49" t="s">
        <v>261</v>
      </c>
      <c r="R151" s="49" t="s">
        <v>261</v>
      </c>
      <c r="S151" s="49" t="s">
        <v>261</v>
      </c>
      <c r="T151" s="49" t="s">
        <v>261</v>
      </c>
      <c r="U151" s="49">
        <v>2700</v>
      </c>
      <c r="V151" s="49">
        <v>2700</v>
      </c>
    </row>
    <row r="152" spans="1:22" ht="15" customHeight="1" x14ac:dyDescent="0.25">
      <c r="A152" s="3" t="s">
        <v>17</v>
      </c>
      <c r="B152" s="1" t="s">
        <v>65</v>
      </c>
      <c r="C152" s="1" t="s">
        <v>66</v>
      </c>
      <c r="D152" s="1" t="s">
        <v>67</v>
      </c>
      <c r="E152" s="1" t="s">
        <v>38</v>
      </c>
      <c r="F152" s="49" t="s">
        <v>202</v>
      </c>
      <c r="G152" s="49">
        <v>3000</v>
      </c>
      <c r="H152" s="49">
        <v>3000</v>
      </c>
      <c r="I152" s="49">
        <v>113</v>
      </c>
      <c r="J152" s="49">
        <v>113</v>
      </c>
      <c r="K152" s="49" t="s">
        <v>261</v>
      </c>
      <c r="L152" s="49" t="s">
        <v>261</v>
      </c>
      <c r="M152" s="49" t="s">
        <v>261</v>
      </c>
      <c r="N152" s="49" t="s">
        <v>261</v>
      </c>
      <c r="O152" s="49" t="s">
        <v>261</v>
      </c>
      <c r="P152" s="49" t="s">
        <v>261</v>
      </c>
      <c r="Q152" s="49" t="s">
        <v>261</v>
      </c>
      <c r="R152" s="49" t="s">
        <v>261</v>
      </c>
      <c r="S152" s="49" t="s">
        <v>261</v>
      </c>
      <c r="T152" s="49" t="s">
        <v>261</v>
      </c>
      <c r="U152" s="49">
        <v>3113</v>
      </c>
      <c r="V152" s="49">
        <v>3113</v>
      </c>
    </row>
    <row r="153" spans="1:22" ht="15" customHeight="1" x14ac:dyDescent="0.25">
      <c r="A153" s="3" t="s">
        <v>17</v>
      </c>
      <c r="B153" s="1" t="s">
        <v>61</v>
      </c>
      <c r="C153" s="1" t="s">
        <v>62</v>
      </c>
      <c r="D153" s="1" t="s">
        <v>63</v>
      </c>
      <c r="E153" s="1" t="s">
        <v>64</v>
      </c>
      <c r="F153" s="49" t="s">
        <v>202</v>
      </c>
      <c r="G153" s="49">
        <v>3200</v>
      </c>
      <c r="H153" s="49">
        <v>3200</v>
      </c>
      <c r="I153" s="49" t="s">
        <v>261</v>
      </c>
      <c r="J153" s="49" t="s">
        <v>261</v>
      </c>
      <c r="K153" s="49" t="s">
        <v>261</v>
      </c>
      <c r="L153" s="49" t="s">
        <v>261</v>
      </c>
      <c r="M153" s="49" t="s">
        <v>261</v>
      </c>
      <c r="N153" s="49" t="s">
        <v>261</v>
      </c>
      <c r="O153" s="49" t="s">
        <v>261</v>
      </c>
      <c r="P153" s="49" t="s">
        <v>261</v>
      </c>
      <c r="Q153" s="49" t="s">
        <v>261</v>
      </c>
      <c r="R153" s="49" t="s">
        <v>261</v>
      </c>
      <c r="S153" s="49" t="s">
        <v>261</v>
      </c>
      <c r="T153" s="49" t="s">
        <v>261</v>
      </c>
      <c r="U153" s="49">
        <v>3200</v>
      </c>
      <c r="V153" s="49">
        <v>3200</v>
      </c>
    </row>
    <row r="154" spans="1:22" ht="15" customHeight="1" x14ac:dyDescent="0.25">
      <c r="A154" s="94" t="s">
        <v>17</v>
      </c>
      <c r="B154" s="53" t="s">
        <v>68</v>
      </c>
      <c r="C154" s="53" t="s">
        <v>69</v>
      </c>
      <c r="D154" s="53" t="s">
        <v>70</v>
      </c>
      <c r="E154" s="53" t="s">
        <v>71</v>
      </c>
      <c r="F154" s="51" t="s">
        <v>202</v>
      </c>
      <c r="G154" s="51">
        <v>2500</v>
      </c>
      <c r="H154" s="51">
        <v>2500</v>
      </c>
      <c r="I154" s="51" t="s">
        <v>261</v>
      </c>
      <c r="J154" s="51" t="s">
        <v>261</v>
      </c>
      <c r="K154" s="51" t="s">
        <v>261</v>
      </c>
      <c r="L154" s="51" t="s">
        <v>261</v>
      </c>
      <c r="M154" s="51" t="s">
        <v>261</v>
      </c>
      <c r="N154" s="51" t="s">
        <v>261</v>
      </c>
      <c r="O154" s="51" t="s">
        <v>261</v>
      </c>
      <c r="P154" s="51" t="s">
        <v>261</v>
      </c>
      <c r="Q154" s="51" t="s">
        <v>261</v>
      </c>
      <c r="R154" s="51" t="s">
        <v>261</v>
      </c>
      <c r="S154" s="51" t="s">
        <v>261</v>
      </c>
      <c r="T154" s="51" t="s">
        <v>261</v>
      </c>
      <c r="U154" s="51">
        <v>2500</v>
      </c>
      <c r="V154" s="51">
        <v>2500</v>
      </c>
    </row>
    <row r="155" spans="1:22" ht="15" customHeight="1" x14ac:dyDescent="0.25">
      <c r="V155" s="49">
        <f>SUM(V140:V154)</f>
        <v>66978</v>
      </c>
    </row>
    <row r="156" spans="1:22" ht="15" customHeight="1" x14ac:dyDescent="0.25">
      <c r="A156" s="90">
        <v>45901</v>
      </c>
    </row>
    <row r="157" spans="1:22" ht="15" customHeight="1" x14ac:dyDescent="0.25">
      <c r="A157" s="3" t="s">
        <v>17</v>
      </c>
      <c r="B157" s="1" t="s">
        <v>18</v>
      </c>
      <c r="C157" s="1" t="s">
        <v>19</v>
      </c>
      <c r="D157" s="1" t="s">
        <v>20</v>
      </c>
      <c r="E157" s="1" t="s">
        <v>21</v>
      </c>
      <c r="F157" s="49" t="s">
        <v>202</v>
      </c>
      <c r="G157" s="49">
        <v>3800</v>
      </c>
      <c r="H157" s="49">
        <v>3800</v>
      </c>
      <c r="I157" s="49" t="s">
        <v>261</v>
      </c>
      <c r="J157" s="49" t="s">
        <v>261</v>
      </c>
      <c r="K157" s="49" t="s">
        <v>261</v>
      </c>
      <c r="L157" s="49" t="s">
        <v>261</v>
      </c>
      <c r="M157" s="49" t="s">
        <v>261</v>
      </c>
      <c r="N157" s="49" t="s">
        <v>261</v>
      </c>
      <c r="O157" s="49" t="s">
        <v>261</v>
      </c>
      <c r="P157" s="49" t="s">
        <v>261</v>
      </c>
      <c r="Q157" s="49" t="s">
        <v>261</v>
      </c>
      <c r="R157" s="49" t="s">
        <v>261</v>
      </c>
      <c r="S157" s="49" t="s">
        <v>261</v>
      </c>
      <c r="T157" s="49" t="s">
        <v>261</v>
      </c>
      <c r="U157" s="49">
        <v>3800</v>
      </c>
      <c r="V157" s="49">
        <v>3800</v>
      </c>
    </row>
    <row r="158" spans="1:22" ht="15" customHeight="1" x14ac:dyDescent="0.25">
      <c r="A158" s="3" t="s">
        <v>17</v>
      </c>
      <c r="B158" s="1" t="s">
        <v>33</v>
      </c>
      <c r="C158" s="1" t="s">
        <v>19</v>
      </c>
      <c r="D158" s="1" t="s">
        <v>25</v>
      </c>
      <c r="E158" s="1" t="s">
        <v>34</v>
      </c>
      <c r="F158" s="49" t="s">
        <v>202</v>
      </c>
      <c r="G158" s="49">
        <v>10000</v>
      </c>
      <c r="H158" s="49">
        <v>10000</v>
      </c>
      <c r="I158" s="49">
        <v>113</v>
      </c>
      <c r="J158" s="49">
        <v>113</v>
      </c>
      <c r="K158" s="49" t="s">
        <v>261</v>
      </c>
      <c r="L158" s="49" t="s">
        <v>261</v>
      </c>
      <c r="M158" s="49" t="s">
        <v>261</v>
      </c>
      <c r="N158" s="49" t="s">
        <v>261</v>
      </c>
      <c r="O158" s="49" t="s">
        <v>261</v>
      </c>
      <c r="P158" s="49" t="s">
        <v>261</v>
      </c>
      <c r="Q158" s="49" t="s">
        <v>261</v>
      </c>
      <c r="R158" s="49" t="s">
        <v>261</v>
      </c>
      <c r="S158" s="49" t="s">
        <v>261</v>
      </c>
      <c r="T158" s="49" t="s">
        <v>261</v>
      </c>
      <c r="U158" s="49">
        <v>10113</v>
      </c>
      <c r="V158" s="49">
        <v>10113</v>
      </c>
    </row>
    <row r="159" spans="1:22" ht="15" customHeight="1" x14ac:dyDescent="0.25">
      <c r="A159" s="3" t="s">
        <v>17</v>
      </c>
      <c r="B159" s="1" t="s">
        <v>24</v>
      </c>
      <c r="C159" s="1" t="s">
        <v>19</v>
      </c>
      <c r="D159" s="1" t="s">
        <v>25</v>
      </c>
      <c r="E159" s="1" t="s">
        <v>26</v>
      </c>
      <c r="F159" s="49" t="s">
        <v>202</v>
      </c>
      <c r="G159" s="49">
        <v>15000</v>
      </c>
      <c r="H159" s="49">
        <v>15000</v>
      </c>
      <c r="I159" s="49" t="s">
        <v>261</v>
      </c>
      <c r="J159" s="49" t="s">
        <v>261</v>
      </c>
      <c r="K159" s="49" t="s">
        <v>261</v>
      </c>
      <c r="L159" s="49" t="s">
        <v>261</v>
      </c>
      <c r="M159" s="49" t="s">
        <v>261</v>
      </c>
      <c r="N159" s="49" t="s">
        <v>261</v>
      </c>
      <c r="O159" s="49" t="s">
        <v>261</v>
      </c>
      <c r="P159" s="49" t="s">
        <v>261</v>
      </c>
      <c r="Q159" s="49" t="s">
        <v>261</v>
      </c>
      <c r="R159" s="49" t="s">
        <v>261</v>
      </c>
      <c r="S159" s="49" t="s">
        <v>261</v>
      </c>
      <c r="T159" s="49" t="s">
        <v>261</v>
      </c>
      <c r="U159" s="49">
        <v>15000</v>
      </c>
      <c r="V159" s="49">
        <v>15000</v>
      </c>
    </row>
    <row r="160" spans="1:22" ht="15" customHeight="1" x14ac:dyDescent="0.25">
      <c r="A160" s="3" t="s">
        <v>17</v>
      </c>
      <c r="B160" s="1" t="s">
        <v>55</v>
      </c>
      <c r="C160" s="1" t="s">
        <v>56</v>
      </c>
      <c r="D160" s="1" t="s">
        <v>28</v>
      </c>
      <c r="E160" s="1" t="s">
        <v>57</v>
      </c>
      <c r="F160" s="49" t="s">
        <v>202</v>
      </c>
      <c r="G160" s="49">
        <v>3500</v>
      </c>
      <c r="H160" s="49">
        <v>3500</v>
      </c>
      <c r="I160" s="49" t="s">
        <v>261</v>
      </c>
      <c r="J160" s="49" t="s">
        <v>261</v>
      </c>
      <c r="K160" s="49" t="s">
        <v>261</v>
      </c>
      <c r="L160" s="49" t="s">
        <v>261</v>
      </c>
      <c r="M160" s="49" t="s">
        <v>261</v>
      </c>
      <c r="N160" s="49" t="s">
        <v>261</v>
      </c>
      <c r="O160" s="49" t="s">
        <v>261</v>
      </c>
      <c r="P160" s="49" t="s">
        <v>261</v>
      </c>
      <c r="Q160" s="49" t="s">
        <v>261</v>
      </c>
      <c r="R160" s="49" t="s">
        <v>261</v>
      </c>
      <c r="S160" s="49" t="s">
        <v>261</v>
      </c>
      <c r="T160" s="49" t="s">
        <v>261</v>
      </c>
      <c r="U160" s="49">
        <v>3500</v>
      </c>
      <c r="V160" s="49">
        <v>3500</v>
      </c>
    </row>
    <row r="161" spans="1:23" ht="15" customHeight="1" x14ac:dyDescent="0.25">
      <c r="A161" s="3" t="s">
        <v>17</v>
      </c>
      <c r="B161" s="1" t="s">
        <v>47</v>
      </c>
      <c r="C161" s="1" t="s">
        <v>48</v>
      </c>
      <c r="D161" s="1" t="s">
        <v>49</v>
      </c>
      <c r="E161" s="1" t="s">
        <v>50</v>
      </c>
      <c r="F161" s="49" t="s">
        <v>202</v>
      </c>
      <c r="G161" s="49">
        <v>3800</v>
      </c>
      <c r="H161" s="49">
        <v>3800</v>
      </c>
      <c r="I161" s="49" t="s">
        <v>261</v>
      </c>
      <c r="J161" s="49" t="s">
        <v>261</v>
      </c>
      <c r="K161" s="49" t="s">
        <v>261</v>
      </c>
      <c r="L161" s="49" t="s">
        <v>261</v>
      </c>
      <c r="M161" s="49" t="s">
        <v>261</v>
      </c>
      <c r="N161" s="49" t="s">
        <v>261</v>
      </c>
      <c r="O161" s="49" t="s">
        <v>261</v>
      </c>
      <c r="P161" s="49" t="s">
        <v>261</v>
      </c>
      <c r="Q161" s="49" t="s">
        <v>261</v>
      </c>
      <c r="R161" s="49" t="s">
        <v>261</v>
      </c>
      <c r="S161" s="49" t="s">
        <v>261</v>
      </c>
      <c r="T161" s="49" t="s">
        <v>261</v>
      </c>
      <c r="U161" s="49">
        <v>3800</v>
      </c>
      <c r="V161" s="49">
        <v>3800</v>
      </c>
    </row>
    <row r="162" spans="1:23" ht="15" customHeight="1" x14ac:dyDescent="0.25">
      <c r="A162" s="3" t="s">
        <v>17</v>
      </c>
      <c r="B162" s="1" t="s">
        <v>58</v>
      </c>
      <c r="C162" s="1" t="s">
        <v>49</v>
      </c>
      <c r="D162" s="1" t="s">
        <v>59</v>
      </c>
      <c r="E162" s="1" t="s">
        <v>60</v>
      </c>
      <c r="F162" s="49" t="s">
        <v>202</v>
      </c>
      <c r="G162" s="49">
        <v>3845.2</v>
      </c>
      <c r="H162" s="49">
        <v>3845.2</v>
      </c>
      <c r="I162" s="49">
        <v>67.8</v>
      </c>
      <c r="J162" s="49">
        <v>67.8</v>
      </c>
      <c r="K162" s="49" t="s">
        <v>261</v>
      </c>
      <c r="L162" s="49" t="s">
        <v>261</v>
      </c>
      <c r="M162" s="49" t="s">
        <v>261</v>
      </c>
      <c r="N162" s="49" t="s">
        <v>261</v>
      </c>
      <c r="O162" s="49" t="s">
        <v>261</v>
      </c>
      <c r="P162" s="49" t="s">
        <v>261</v>
      </c>
      <c r="Q162" s="49" t="s">
        <v>261</v>
      </c>
      <c r="R162" s="49" t="s">
        <v>261</v>
      </c>
      <c r="S162" s="49" t="s">
        <v>261</v>
      </c>
      <c r="T162" s="49" t="s">
        <v>261</v>
      </c>
      <c r="U162" s="49">
        <v>3913</v>
      </c>
      <c r="V162" s="49">
        <v>3913</v>
      </c>
    </row>
    <row r="163" spans="1:23" ht="15" customHeight="1" x14ac:dyDescent="0.25">
      <c r="A163" s="3" t="s">
        <v>17</v>
      </c>
      <c r="B163" s="1" t="s">
        <v>35</v>
      </c>
      <c r="C163" s="1" t="s">
        <v>36</v>
      </c>
      <c r="D163" s="1" t="s">
        <v>37</v>
      </c>
      <c r="E163" s="1" t="s">
        <v>38</v>
      </c>
      <c r="F163" s="49" t="s">
        <v>202</v>
      </c>
      <c r="G163" s="49">
        <v>2700</v>
      </c>
      <c r="H163" s="49">
        <v>2700</v>
      </c>
      <c r="I163" s="49">
        <v>113</v>
      </c>
      <c r="J163" s="49">
        <v>113</v>
      </c>
      <c r="K163" s="49" t="s">
        <v>261</v>
      </c>
      <c r="L163" s="49" t="s">
        <v>261</v>
      </c>
      <c r="M163" s="49" t="s">
        <v>261</v>
      </c>
      <c r="N163" s="49" t="s">
        <v>261</v>
      </c>
      <c r="O163" s="49" t="s">
        <v>261</v>
      </c>
      <c r="P163" s="49" t="s">
        <v>261</v>
      </c>
      <c r="Q163" s="49" t="s">
        <v>261</v>
      </c>
      <c r="R163" s="49" t="s">
        <v>261</v>
      </c>
      <c r="S163" s="49" t="s">
        <v>261</v>
      </c>
      <c r="T163" s="49" t="s">
        <v>261</v>
      </c>
      <c r="U163" s="49">
        <v>2813</v>
      </c>
      <c r="V163" s="49">
        <v>2813</v>
      </c>
    </row>
    <row r="164" spans="1:23" ht="15" customHeight="1" x14ac:dyDescent="0.25">
      <c r="A164" s="3" t="s">
        <v>17</v>
      </c>
      <c r="B164" s="1" t="s">
        <v>27</v>
      </c>
      <c r="C164" s="1" t="s">
        <v>28</v>
      </c>
      <c r="D164" s="1" t="s">
        <v>29</v>
      </c>
      <c r="E164" s="1" t="s">
        <v>30</v>
      </c>
      <c r="F164" s="49" t="s">
        <v>202</v>
      </c>
      <c r="G164" s="49">
        <v>3800</v>
      </c>
      <c r="H164" s="49">
        <v>3800</v>
      </c>
      <c r="I164" s="49">
        <v>113</v>
      </c>
      <c r="J164" s="49">
        <v>113</v>
      </c>
      <c r="K164" s="49" t="s">
        <v>261</v>
      </c>
      <c r="L164" s="49" t="s">
        <v>261</v>
      </c>
      <c r="M164" s="49" t="s">
        <v>261</v>
      </c>
      <c r="N164" s="49" t="s">
        <v>261</v>
      </c>
      <c r="O164" s="49" t="s">
        <v>261</v>
      </c>
      <c r="P164" s="49" t="s">
        <v>261</v>
      </c>
      <c r="Q164" s="49" t="s">
        <v>261</v>
      </c>
      <c r="R164" s="49" t="s">
        <v>261</v>
      </c>
      <c r="S164" s="49" t="s">
        <v>261</v>
      </c>
      <c r="T164" s="49" t="s">
        <v>261</v>
      </c>
      <c r="U164" s="49">
        <v>3913</v>
      </c>
      <c r="V164" s="49">
        <v>3913</v>
      </c>
    </row>
    <row r="165" spans="1:23" ht="15" customHeight="1" x14ac:dyDescent="0.25">
      <c r="A165" s="3" t="s">
        <v>17</v>
      </c>
      <c r="B165" s="1" t="s">
        <v>39</v>
      </c>
      <c r="C165" s="1" t="s">
        <v>40</v>
      </c>
      <c r="D165" s="1" t="s">
        <v>41</v>
      </c>
      <c r="E165" s="1" t="s">
        <v>42</v>
      </c>
      <c r="F165" s="49" t="s">
        <v>202</v>
      </c>
      <c r="G165" s="49">
        <v>3200</v>
      </c>
      <c r="H165" s="49">
        <v>3200</v>
      </c>
      <c r="I165" s="49" t="s">
        <v>261</v>
      </c>
      <c r="J165" s="49" t="s">
        <v>261</v>
      </c>
      <c r="K165" s="49" t="s">
        <v>261</v>
      </c>
      <c r="L165" s="49" t="s">
        <v>261</v>
      </c>
      <c r="M165" s="49" t="s">
        <v>261</v>
      </c>
      <c r="N165" s="49" t="s">
        <v>261</v>
      </c>
      <c r="O165" s="49" t="s">
        <v>261</v>
      </c>
      <c r="P165" s="49" t="s">
        <v>261</v>
      </c>
      <c r="Q165" s="49" t="s">
        <v>261</v>
      </c>
      <c r="R165" s="49" t="s">
        <v>261</v>
      </c>
      <c r="S165" s="49" t="s">
        <v>261</v>
      </c>
      <c r="T165" s="49" t="s">
        <v>261</v>
      </c>
      <c r="U165" s="49">
        <v>3200</v>
      </c>
      <c r="V165" s="49">
        <v>3200</v>
      </c>
    </row>
    <row r="166" spans="1:23" ht="15" customHeight="1" x14ac:dyDescent="0.25">
      <c r="A166" s="3" t="s">
        <v>17</v>
      </c>
      <c r="B166" s="1" t="s">
        <v>43</v>
      </c>
      <c r="C166" s="1" t="s">
        <v>44</v>
      </c>
      <c r="D166" s="1" t="s">
        <v>45</v>
      </c>
      <c r="E166" s="1" t="s">
        <v>46</v>
      </c>
      <c r="F166" s="49" t="s">
        <v>202</v>
      </c>
      <c r="G166" s="49">
        <v>2800</v>
      </c>
      <c r="H166" s="49">
        <v>2800</v>
      </c>
      <c r="I166" s="49">
        <v>113</v>
      </c>
      <c r="J166" s="49">
        <v>113</v>
      </c>
      <c r="K166" s="49" t="s">
        <v>261</v>
      </c>
      <c r="L166" s="49" t="s">
        <v>261</v>
      </c>
      <c r="M166" s="49" t="s">
        <v>261</v>
      </c>
      <c r="N166" s="49" t="s">
        <v>261</v>
      </c>
      <c r="O166" s="49" t="s">
        <v>261</v>
      </c>
      <c r="P166" s="49" t="s">
        <v>261</v>
      </c>
      <c r="Q166" s="49" t="s">
        <v>261</v>
      </c>
      <c r="R166" s="49" t="s">
        <v>261</v>
      </c>
      <c r="S166" s="49" t="s">
        <v>261</v>
      </c>
      <c r="T166" s="49" t="s">
        <v>261</v>
      </c>
      <c r="U166" s="49">
        <v>2913</v>
      </c>
      <c r="V166" s="49">
        <v>2913</v>
      </c>
    </row>
    <row r="167" spans="1:23" ht="15" customHeight="1" x14ac:dyDescent="0.25">
      <c r="A167" s="3" t="s">
        <v>17</v>
      </c>
      <c r="B167" s="1" t="s">
        <v>72</v>
      </c>
      <c r="C167" s="1" t="s">
        <v>28</v>
      </c>
      <c r="D167" s="1" t="s">
        <v>73</v>
      </c>
      <c r="E167" s="1" t="s">
        <v>74</v>
      </c>
      <c r="F167" s="49" t="s">
        <v>202</v>
      </c>
      <c r="G167" s="49">
        <v>2500</v>
      </c>
      <c r="H167" s="49">
        <v>2500</v>
      </c>
      <c r="I167" s="49" t="s">
        <v>261</v>
      </c>
      <c r="J167" s="49" t="s">
        <v>261</v>
      </c>
      <c r="K167" s="49" t="s">
        <v>261</v>
      </c>
      <c r="L167" s="49" t="s">
        <v>261</v>
      </c>
      <c r="M167" s="49" t="s">
        <v>261</v>
      </c>
      <c r="N167" s="49" t="s">
        <v>261</v>
      </c>
      <c r="O167" s="49" t="s">
        <v>261</v>
      </c>
      <c r="P167" s="49" t="s">
        <v>261</v>
      </c>
      <c r="Q167" s="49" t="s">
        <v>261</v>
      </c>
      <c r="R167" s="49" t="s">
        <v>261</v>
      </c>
      <c r="S167" s="49" t="s">
        <v>261</v>
      </c>
      <c r="T167" s="49" t="s">
        <v>261</v>
      </c>
      <c r="U167" s="49">
        <v>2500</v>
      </c>
      <c r="V167" s="49">
        <v>2500</v>
      </c>
      <c r="W167" s="1" t="s">
        <v>267</v>
      </c>
    </row>
    <row r="168" spans="1:23" ht="15" customHeight="1" x14ac:dyDescent="0.25">
      <c r="A168" s="3" t="s">
        <v>17</v>
      </c>
      <c r="B168" s="1" t="s">
        <v>51</v>
      </c>
      <c r="C168" s="1" t="s">
        <v>52</v>
      </c>
      <c r="D168" s="1" t="s">
        <v>53</v>
      </c>
      <c r="E168" s="1" t="s">
        <v>54</v>
      </c>
      <c r="F168" s="49" t="s">
        <v>202</v>
      </c>
      <c r="G168" s="49">
        <v>3960</v>
      </c>
      <c r="H168" s="49">
        <v>3960</v>
      </c>
      <c r="I168" s="49" t="s">
        <v>261</v>
      </c>
      <c r="J168" s="49" t="s">
        <v>261</v>
      </c>
      <c r="K168" s="49" t="s">
        <v>261</v>
      </c>
      <c r="L168" s="49" t="s">
        <v>261</v>
      </c>
      <c r="M168" s="49" t="s">
        <v>261</v>
      </c>
      <c r="N168" s="49" t="s">
        <v>261</v>
      </c>
      <c r="O168" s="49" t="s">
        <v>261</v>
      </c>
      <c r="P168" s="49" t="s">
        <v>261</v>
      </c>
      <c r="Q168" s="49" t="s">
        <v>261</v>
      </c>
      <c r="R168" s="49" t="s">
        <v>261</v>
      </c>
      <c r="S168" s="49" t="s">
        <v>261</v>
      </c>
      <c r="T168" s="49" t="s">
        <v>261</v>
      </c>
      <c r="U168" s="49">
        <v>3960</v>
      </c>
      <c r="V168" s="49">
        <v>3960</v>
      </c>
      <c r="W168" s="1">
        <v>1260</v>
      </c>
    </row>
    <row r="169" spans="1:23" ht="15" customHeight="1" x14ac:dyDescent="0.25">
      <c r="A169" s="3" t="s">
        <v>17</v>
      </c>
      <c r="B169" s="1" t="s">
        <v>65</v>
      </c>
      <c r="C169" s="1" t="s">
        <v>66</v>
      </c>
      <c r="D169" s="1" t="s">
        <v>67</v>
      </c>
      <c r="E169" s="1" t="s">
        <v>38</v>
      </c>
      <c r="F169" s="49" t="s">
        <v>202</v>
      </c>
      <c r="G169" s="49">
        <v>3000</v>
      </c>
      <c r="H169" s="49">
        <v>3000</v>
      </c>
      <c r="I169" s="49">
        <v>113</v>
      </c>
      <c r="J169" s="49">
        <v>113</v>
      </c>
      <c r="K169" s="49" t="s">
        <v>261</v>
      </c>
      <c r="L169" s="49" t="s">
        <v>261</v>
      </c>
      <c r="M169" s="49" t="s">
        <v>261</v>
      </c>
      <c r="N169" s="49" t="s">
        <v>261</v>
      </c>
      <c r="O169" s="49" t="s">
        <v>261</v>
      </c>
      <c r="P169" s="49" t="s">
        <v>261</v>
      </c>
      <c r="Q169" s="49" t="s">
        <v>261</v>
      </c>
      <c r="R169" s="49" t="s">
        <v>261</v>
      </c>
      <c r="S169" s="49" t="s">
        <v>261</v>
      </c>
      <c r="T169" s="49" t="s">
        <v>261</v>
      </c>
      <c r="U169" s="49">
        <v>3113</v>
      </c>
      <c r="V169" s="49">
        <v>3113</v>
      </c>
    </row>
    <row r="170" spans="1:23" ht="15" customHeight="1" x14ac:dyDescent="0.25">
      <c r="A170" s="3" t="s">
        <v>17</v>
      </c>
      <c r="B170" s="1" t="s">
        <v>61</v>
      </c>
      <c r="C170" s="1" t="s">
        <v>62</v>
      </c>
      <c r="D170" s="1" t="s">
        <v>63</v>
      </c>
      <c r="E170" s="1" t="s">
        <v>64</v>
      </c>
      <c r="F170" s="49" t="s">
        <v>202</v>
      </c>
      <c r="G170" s="49">
        <v>3200</v>
      </c>
      <c r="H170" s="49">
        <v>3200</v>
      </c>
      <c r="I170" s="49" t="s">
        <v>261</v>
      </c>
      <c r="J170" s="49" t="s">
        <v>261</v>
      </c>
      <c r="K170" s="49" t="s">
        <v>261</v>
      </c>
      <c r="L170" s="49" t="s">
        <v>261</v>
      </c>
      <c r="M170" s="49" t="s">
        <v>261</v>
      </c>
      <c r="N170" s="49" t="s">
        <v>261</v>
      </c>
      <c r="O170" s="49" t="s">
        <v>261</v>
      </c>
      <c r="P170" s="49" t="s">
        <v>261</v>
      </c>
      <c r="Q170" s="49" t="s">
        <v>261</v>
      </c>
      <c r="R170" s="49" t="s">
        <v>261</v>
      </c>
      <c r="S170" s="49" t="s">
        <v>261</v>
      </c>
      <c r="T170" s="49" t="s">
        <v>261</v>
      </c>
      <c r="U170" s="49">
        <v>3200</v>
      </c>
      <c r="V170" s="49">
        <v>3200</v>
      </c>
    </row>
    <row r="171" spans="1:23" ht="15" customHeight="1" x14ac:dyDescent="0.25">
      <c r="A171" s="3" t="s">
        <v>17</v>
      </c>
      <c r="B171" s="1" t="s">
        <v>68</v>
      </c>
      <c r="C171" s="1" t="s">
        <v>69</v>
      </c>
      <c r="D171" s="1" t="s">
        <v>70</v>
      </c>
      <c r="E171" s="1" t="s">
        <v>71</v>
      </c>
      <c r="F171" s="49" t="s">
        <v>202</v>
      </c>
      <c r="G171" s="49">
        <v>2500</v>
      </c>
      <c r="H171" s="49">
        <v>2500</v>
      </c>
      <c r="I171" s="49" t="s">
        <v>261</v>
      </c>
      <c r="J171" s="49" t="s">
        <v>261</v>
      </c>
      <c r="K171" s="49" t="s">
        <v>261</v>
      </c>
      <c r="L171" s="49" t="s">
        <v>261</v>
      </c>
      <c r="M171" s="49" t="s">
        <v>261</v>
      </c>
      <c r="N171" s="49" t="s">
        <v>261</v>
      </c>
      <c r="O171" s="49" t="s">
        <v>261</v>
      </c>
      <c r="P171" s="49" t="s">
        <v>261</v>
      </c>
      <c r="Q171" s="49" t="s">
        <v>261</v>
      </c>
      <c r="R171" s="49" t="s">
        <v>261</v>
      </c>
      <c r="S171" s="49" t="s">
        <v>261</v>
      </c>
      <c r="T171" s="49" t="s">
        <v>261</v>
      </c>
      <c r="U171" s="49">
        <v>2500</v>
      </c>
      <c r="V171" s="49">
        <v>2500</v>
      </c>
    </row>
    <row r="172" spans="1:23" ht="15" customHeight="1" x14ac:dyDescent="0.25">
      <c r="G172" s="89">
        <f t="shared" ref="G172:V172" si="8">SUM(G157:G171)</f>
        <v>67605.2</v>
      </c>
      <c r="H172" s="89">
        <f t="shared" si="8"/>
        <v>67605.2</v>
      </c>
      <c r="I172" s="89">
        <f t="shared" si="8"/>
        <v>632.79999999999995</v>
      </c>
      <c r="J172" s="89">
        <f t="shared" si="8"/>
        <v>632.79999999999995</v>
      </c>
      <c r="K172" s="89">
        <f t="shared" si="8"/>
        <v>0</v>
      </c>
      <c r="L172" s="89">
        <f t="shared" si="8"/>
        <v>0</v>
      </c>
      <c r="M172" s="89">
        <f t="shared" si="8"/>
        <v>0</v>
      </c>
      <c r="N172" s="89">
        <f t="shared" si="8"/>
        <v>0</v>
      </c>
      <c r="O172" s="89">
        <f t="shared" si="8"/>
        <v>0</v>
      </c>
      <c r="P172" s="89">
        <f t="shared" si="8"/>
        <v>0</v>
      </c>
      <c r="Q172" s="89">
        <f t="shared" si="8"/>
        <v>0</v>
      </c>
      <c r="R172" s="89">
        <f t="shared" si="8"/>
        <v>0</v>
      </c>
      <c r="S172" s="89">
        <f t="shared" si="8"/>
        <v>0</v>
      </c>
      <c r="T172" s="89">
        <f t="shared" si="8"/>
        <v>0</v>
      </c>
      <c r="U172" s="89">
        <f t="shared" si="8"/>
        <v>68238</v>
      </c>
      <c r="V172" s="89">
        <f t="shared" si="8"/>
        <v>68238</v>
      </c>
    </row>
    <row r="174" spans="1:23" ht="15" customHeight="1" x14ac:dyDescent="0.25">
      <c r="A174" s="90">
        <v>45931</v>
      </c>
    </row>
    <row r="175" spans="1:23" ht="15" customHeight="1" x14ac:dyDescent="0.25">
      <c r="A175" s="3" t="s">
        <v>17</v>
      </c>
      <c r="B175" s="1" t="s">
        <v>18</v>
      </c>
      <c r="C175" s="1" t="s">
        <v>19</v>
      </c>
      <c r="D175" s="1" t="s">
        <v>20</v>
      </c>
      <c r="E175" s="1" t="s">
        <v>21</v>
      </c>
      <c r="F175" s="49" t="s">
        <v>202</v>
      </c>
      <c r="G175" s="49">
        <v>3800</v>
      </c>
      <c r="H175" s="49">
        <v>3800</v>
      </c>
      <c r="I175" s="49" t="s">
        <v>261</v>
      </c>
      <c r="J175" s="49" t="s">
        <v>261</v>
      </c>
      <c r="K175" s="49" t="s">
        <v>261</v>
      </c>
      <c r="L175" s="49" t="s">
        <v>261</v>
      </c>
      <c r="M175" s="49" t="s">
        <v>261</v>
      </c>
      <c r="N175" s="49" t="s">
        <v>261</v>
      </c>
      <c r="O175" s="49" t="s">
        <v>261</v>
      </c>
      <c r="P175" s="49" t="s">
        <v>261</v>
      </c>
      <c r="Q175" s="49" t="s">
        <v>261</v>
      </c>
      <c r="R175" s="49" t="s">
        <v>261</v>
      </c>
      <c r="S175" s="49" t="s">
        <v>261</v>
      </c>
      <c r="T175" s="49" t="s">
        <v>261</v>
      </c>
      <c r="U175" s="49">
        <v>3800</v>
      </c>
      <c r="V175" s="49">
        <v>3800</v>
      </c>
    </row>
    <row r="176" spans="1:23" ht="15" customHeight="1" x14ac:dyDescent="0.25">
      <c r="A176" s="3" t="s">
        <v>17</v>
      </c>
      <c r="B176" s="1" t="s">
        <v>33</v>
      </c>
      <c r="C176" s="1" t="s">
        <v>19</v>
      </c>
      <c r="D176" s="1" t="s">
        <v>25</v>
      </c>
      <c r="E176" s="1" t="s">
        <v>34</v>
      </c>
      <c r="F176" s="49" t="s">
        <v>202</v>
      </c>
      <c r="G176" s="49">
        <v>10000</v>
      </c>
      <c r="H176" s="49">
        <v>10000</v>
      </c>
      <c r="I176" s="49">
        <v>113</v>
      </c>
      <c r="J176" s="49">
        <v>113</v>
      </c>
      <c r="K176" s="49" t="s">
        <v>261</v>
      </c>
      <c r="L176" s="49" t="s">
        <v>261</v>
      </c>
      <c r="M176" s="49" t="s">
        <v>261</v>
      </c>
      <c r="N176" s="49" t="s">
        <v>261</v>
      </c>
      <c r="O176" s="49" t="s">
        <v>261</v>
      </c>
      <c r="P176" s="49" t="s">
        <v>261</v>
      </c>
      <c r="Q176" s="49" t="s">
        <v>261</v>
      </c>
      <c r="R176" s="49" t="s">
        <v>261</v>
      </c>
      <c r="S176" s="49" t="s">
        <v>261</v>
      </c>
      <c r="T176" s="49" t="s">
        <v>261</v>
      </c>
      <c r="U176" s="49">
        <v>10113</v>
      </c>
      <c r="V176" s="49">
        <v>10113</v>
      </c>
    </row>
    <row r="177" spans="1:22" ht="15" customHeight="1" x14ac:dyDescent="0.25">
      <c r="A177" s="3" t="s">
        <v>17</v>
      </c>
      <c r="B177" s="1" t="s">
        <v>24</v>
      </c>
      <c r="C177" s="1" t="s">
        <v>19</v>
      </c>
      <c r="D177" s="1" t="s">
        <v>25</v>
      </c>
      <c r="E177" s="1" t="s">
        <v>26</v>
      </c>
      <c r="F177" s="49" t="s">
        <v>202</v>
      </c>
      <c r="G177" s="49">
        <v>15000</v>
      </c>
      <c r="H177" s="49">
        <v>15000</v>
      </c>
      <c r="I177" s="49" t="s">
        <v>261</v>
      </c>
      <c r="J177" s="49" t="s">
        <v>261</v>
      </c>
      <c r="K177" s="49" t="s">
        <v>261</v>
      </c>
      <c r="L177" s="49" t="s">
        <v>261</v>
      </c>
      <c r="M177" s="49" t="s">
        <v>261</v>
      </c>
      <c r="N177" s="49" t="s">
        <v>261</v>
      </c>
      <c r="O177" s="49" t="s">
        <v>261</v>
      </c>
      <c r="P177" s="49" t="s">
        <v>261</v>
      </c>
      <c r="Q177" s="49" t="s">
        <v>261</v>
      </c>
      <c r="R177" s="49" t="s">
        <v>261</v>
      </c>
      <c r="S177" s="49" t="s">
        <v>261</v>
      </c>
      <c r="T177" s="49" t="s">
        <v>261</v>
      </c>
      <c r="U177" s="49">
        <v>15000</v>
      </c>
      <c r="V177" s="49">
        <v>15000</v>
      </c>
    </row>
    <row r="178" spans="1:22" ht="15" customHeight="1" x14ac:dyDescent="0.25">
      <c r="A178" s="3" t="s">
        <v>17</v>
      </c>
      <c r="B178" s="1" t="s">
        <v>55</v>
      </c>
      <c r="C178" s="1" t="s">
        <v>56</v>
      </c>
      <c r="D178" s="1" t="s">
        <v>28</v>
      </c>
      <c r="E178" s="1" t="s">
        <v>57</v>
      </c>
      <c r="F178" s="49" t="s">
        <v>202</v>
      </c>
      <c r="G178" s="49">
        <v>3500</v>
      </c>
      <c r="H178" s="49">
        <v>3500</v>
      </c>
      <c r="I178" s="49" t="s">
        <v>261</v>
      </c>
      <c r="J178" s="49" t="s">
        <v>261</v>
      </c>
      <c r="K178" s="49" t="s">
        <v>261</v>
      </c>
      <c r="L178" s="49" t="s">
        <v>261</v>
      </c>
      <c r="M178" s="49" t="s">
        <v>261</v>
      </c>
      <c r="N178" s="49" t="s">
        <v>261</v>
      </c>
      <c r="O178" s="49" t="s">
        <v>261</v>
      </c>
      <c r="P178" s="49" t="s">
        <v>261</v>
      </c>
      <c r="Q178" s="49" t="s">
        <v>261</v>
      </c>
      <c r="R178" s="49" t="s">
        <v>261</v>
      </c>
      <c r="S178" s="49" t="s">
        <v>261</v>
      </c>
      <c r="T178" s="49" t="s">
        <v>261</v>
      </c>
      <c r="U178" s="49">
        <v>3500</v>
      </c>
      <c r="V178" s="49">
        <v>3500</v>
      </c>
    </row>
    <row r="179" spans="1:22" ht="15" customHeight="1" x14ac:dyDescent="0.25">
      <c r="A179" s="3" t="s">
        <v>17</v>
      </c>
      <c r="B179" s="1" t="s">
        <v>47</v>
      </c>
      <c r="C179" s="1" t="s">
        <v>48</v>
      </c>
      <c r="D179" s="1" t="s">
        <v>49</v>
      </c>
      <c r="E179" s="1" t="s">
        <v>50</v>
      </c>
      <c r="F179" s="49" t="s">
        <v>202</v>
      </c>
      <c r="G179" s="49">
        <v>3800</v>
      </c>
      <c r="H179" s="49">
        <v>3800</v>
      </c>
      <c r="I179" s="49" t="s">
        <v>261</v>
      </c>
      <c r="J179" s="49" t="s">
        <v>261</v>
      </c>
      <c r="K179" s="49" t="s">
        <v>261</v>
      </c>
      <c r="L179" s="49" t="s">
        <v>261</v>
      </c>
      <c r="M179" s="49" t="s">
        <v>261</v>
      </c>
      <c r="N179" s="49" t="s">
        <v>261</v>
      </c>
      <c r="O179" s="49" t="s">
        <v>261</v>
      </c>
      <c r="P179" s="49" t="s">
        <v>261</v>
      </c>
      <c r="Q179" s="49" t="s">
        <v>261</v>
      </c>
      <c r="R179" s="49" t="s">
        <v>261</v>
      </c>
      <c r="S179" s="49" t="s">
        <v>261</v>
      </c>
      <c r="T179" s="49" t="s">
        <v>261</v>
      </c>
      <c r="U179" s="49">
        <v>3800</v>
      </c>
      <c r="V179" s="49">
        <v>3800</v>
      </c>
    </row>
    <row r="180" spans="1:22" ht="15" customHeight="1" x14ac:dyDescent="0.25">
      <c r="A180" s="3" t="s">
        <v>17</v>
      </c>
      <c r="B180" s="1" t="s">
        <v>58</v>
      </c>
      <c r="C180" s="1" t="s">
        <v>49</v>
      </c>
      <c r="D180" s="1" t="s">
        <v>59</v>
      </c>
      <c r="E180" s="1" t="s">
        <v>60</v>
      </c>
      <c r="F180" s="49" t="s">
        <v>202</v>
      </c>
      <c r="G180" s="49">
        <v>3800</v>
      </c>
      <c r="H180" s="49">
        <v>3800</v>
      </c>
      <c r="I180" s="49">
        <v>113</v>
      </c>
      <c r="J180" s="49">
        <v>113</v>
      </c>
      <c r="K180" s="49" t="s">
        <v>261</v>
      </c>
      <c r="L180" s="49" t="s">
        <v>261</v>
      </c>
      <c r="M180" s="49" t="s">
        <v>261</v>
      </c>
      <c r="N180" s="49" t="s">
        <v>261</v>
      </c>
      <c r="O180" s="49" t="s">
        <v>261</v>
      </c>
      <c r="P180" s="49" t="s">
        <v>261</v>
      </c>
      <c r="Q180" s="49" t="s">
        <v>261</v>
      </c>
      <c r="R180" s="49" t="s">
        <v>261</v>
      </c>
      <c r="S180" s="49" t="s">
        <v>261</v>
      </c>
      <c r="T180" s="49" t="s">
        <v>261</v>
      </c>
      <c r="U180" s="49">
        <v>3913</v>
      </c>
      <c r="V180" s="49">
        <v>3913</v>
      </c>
    </row>
    <row r="181" spans="1:22" ht="15" customHeight="1" x14ac:dyDescent="0.25">
      <c r="A181" s="3" t="s">
        <v>17</v>
      </c>
      <c r="B181" s="1" t="s">
        <v>35</v>
      </c>
      <c r="C181" s="1" t="s">
        <v>36</v>
      </c>
      <c r="D181" s="1" t="s">
        <v>37</v>
      </c>
      <c r="E181" s="1" t="s">
        <v>38</v>
      </c>
      <c r="F181" s="49" t="s">
        <v>202</v>
      </c>
      <c r="G181" s="49">
        <v>2700</v>
      </c>
      <c r="H181" s="49">
        <v>2700</v>
      </c>
      <c r="I181" s="49">
        <v>113</v>
      </c>
      <c r="J181" s="49">
        <v>113</v>
      </c>
      <c r="K181" s="49" t="s">
        <v>261</v>
      </c>
      <c r="L181" s="49" t="s">
        <v>261</v>
      </c>
      <c r="M181" s="49" t="s">
        <v>261</v>
      </c>
      <c r="N181" s="49" t="s">
        <v>261</v>
      </c>
      <c r="O181" s="49" t="s">
        <v>261</v>
      </c>
      <c r="P181" s="49" t="s">
        <v>261</v>
      </c>
      <c r="Q181" s="49" t="s">
        <v>261</v>
      </c>
      <c r="R181" s="49" t="s">
        <v>261</v>
      </c>
      <c r="S181" s="49" t="s">
        <v>261</v>
      </c>
      <c r="T181" s="49" t="s">
        <v>261</v>
      </c>
      <c r="U181" s="49">
        <v>2813</v>
      </c>
      <c r="V181" s="49">
        <v>2813</v>
      </c>
    </row>
    <row r="182" spans="1:22" ht="15" customHeight="1" x14ac:dyDescent="0.25">
      <c r="A182" s="3" t="s">
        <v>17</v>
      </c>
      <c r="B182" s="1" t="s">
        <v>27</v>
      </c>
      <c r="C182" s="1" t="s">
        <v>28</v>
      </c>
      <c r="D182" s="1" t="s">
        <v>29</v>
      </c>
      <c r="E182" s="1" t="s">
        <v>30</v>
      </c>
      <c r="F182" s="49" t="s">
        <v>202</v>
      </c>
      <c r="G182" s="49">
        <v>3800</v>
      </c>
      <c r="H182" s="49">
        <v>3800</v>
      </c>
      <c r="I182" s="49">
        <v>113</v>
      </c>
      <c r="J182" s="49">
        <v>113</v>
      </c>
      <c r="K182" s="49" t="s">
        <v>261</v>
      </c>
      <c r="L182" s="49" t="s">
        <v>261</v>
      </c>
      <c r="M182" s="49" t="s">
        <v>261</v>
      </c>
      <c r="N182" s="49" t="s">
        <v>261</v>
      </c>
      <c r="O182" s="49" t="s">
        <v>261</v>
      </c>
      <c r="P182" s="49" t="s">
        <v>261</v>
      </c>
      <c r="Q182" s="49" t="s">
        <v>261</v>
      </c>
      <c r="R182" s="49" t="s">
        <v>261</v>
      </c>
      <c r="S182" s="49" t="s">
        <v>261</v>
      </c>
      <c r="T182" s="49" t="s">
        <v>261</v>
      </c>
      <c r="U182" s="49">
        <v>3913</v>
      </c>
      <c r="V182" s="49">
        <v>3913</v>
      </c>
    </row>
    <row r="183" spans="1:22" ht="15" customHeight="1" x14ac:dyDescent="0.25">
      <c r="A183" s="3" t="s">
        <v>17</v>
      </c>
      <c r="B183" s="1" t="s">
        <v>39</v>
      </c>
      <c r="C183" s="1" t="s">
        <v>40</v>
      </c>
      <c r="D183" s="1" t="s">
        <v>41</v>
      </c>
      <c r="E183" s="1" t="s">
        <v>42</v>
      </c>
      <c r="F183" s="49" t="s">
        <v>202</v>
      </c>
      <c r="G183" s="49">
        <v>3200</v>
      </c>
      <c r="H183" s="49">
        <v>3200</v>
      </c>
      <c r="I183" s="49" t="s">
        <v>261</v>
      </c>
      <c r="J183" s="49" t="s">
        <v>261</v>
      </c>
      <c r="K183" s="49" t="s">
        <v>261</v>
      </c>
      <c r="L183" s="49" t="s">
        <v>261</v>
      </c>
      <c r="M183" s="49" t="s">
        <v>261</v>
      </c>
      <c r="N183" s="49" t="s">
        <v>261</v>
      </c>
      <c r="O183" s="49" t="s">
        <v>261</v>
      </c>
      <c r="P183" s="49" t="s">
        <v>261</v>
      </c>
      <c r="Q183" s="49" t="s">
        <v>261</v>
      </c>
      <c r="R183" s="49" t="s">
        <v>261</v>
      </c>
      <c r="S183" s="49" t="s">
        <v>261</v>
      </c>
      <c r="T183" s="49" t="s">
        <v>261</v>
      </c>
      <c r="U183" s="49">
        <v>3200</v>
      </c>
      <c r="V183" s="49">
        <v>3200</v>
      </c>
    </row>
    <row r="184" spans="1:22" ht="15" customHeight="1" x14ac:dyDescent="0.25">
      <c r="A184" s="3" t="s">
        <v>17</v>
      </c>
      <c r="B184" s="1" t="s">
        <v>43</v>
      </c>
      <c r="C184" s="1" t="s">
        <v>44</v>
      </c>
      <c r="D184" s="1" t="s">
        <v>45</v>
      </c>
      <c r="E184" s="1" t="s">
        <v>46</v>
      </c>
      <c r="F184" s="49" t="s">
        <v>202</v>
      </c>
      <c r="G184" s="49">
        <v>2800</v>
      </c>
      <c r="H184" s="49">
        <v>2800</v>
      </c>
      <c r="I184" s="49">
        <v>113</v>
      </c>
      <c r="J184" s="49">
        <v>113</v>
      </c>
      <c r="K184" s="49" t="s">
        <v>261</v>
      </c>
      <c r="L184" s="49" t="s">
        <v>261</v>
      </c>
      <c r="M184" s="49" t="s">
        <v>261</v>
      </c>
      <c r="N184" s="49" t="s">
        <v>261</v>
      </c>
      <c r="O184" s="49" t="s">
        <v>261</v>
      </c>
      <c r="P184" s="49" t="s">
        <v>261</v>
      </c>
      <c r="Q184" s="49" t="s">
        <v>261</v>
      </c>
      <c r="R184" s="49" t="s">
        <v>261</v>
      </c>
      <c r="S184" s="49" t="s">
        <v>261</v>
      </c>
      <c r="T184" s="49" t="s">
        <v>261</v>
      </c>
      <c r="U184" s="49">
        <v>2913</v>
      </c>
      <c r="V184" s="49">
        <v>2913</v>
      </c>
    </row>
    <row r="185" spans="1:22" ht="15" customHeight="1" x14ac:dyDescent="0.25">
      <c r="A185" s="3" t="s">
        <v>17</v>
      </c>
      <c r="B185" s="1" t="s">
        <v>72</v>
      </c>
      <c r="C185" s="1" t="s">
        <v>28</v>
      </c>
      <c r="D185" s="1" t="s">
        <v>73</v>
      </c>
      <c r="E185" s="1" t="s">
        <v>74</v>
      </c>
      <c r="F185" s="49" t="s">
        <v>202</v>
      </c>
      <c r="G185" s="49">
        <v>2500</v>
      </c>
      <c r="H185" s="49">
        <v>2500</v>
      </c>
      <c r="I185" s="49" t="s">
        <v>261</v>
      </c>
      <c r="J185" s="49" t="s">
        <v>261</v>
      </c>
      <c r="K185" s="49" t="s">
        <v>261</v>
      </c>
      <c r="L185" s="49" t="s">
        <v>261</v>
      </c>
      <c r="M185" s="49" t="s">
        <v>261</v>
      </c>
      <c r="N185" s="49" t="s">
        <v>261</v>
      </c>
      <c r="O185" s="49" t="s">
        <v>261</v>
      </c>
      <c r="P185" s="49" t="s">
        <v>261</v>
      </c>
      <c r="Q185" s="49" t="s">
        <v>261</v>
      </c>
      <c r="R185" s="49" t="s">
        <v>261</v>
      </c>
      <c r="S185" s="49" t="s">
        <v>261</v>
      </c>
      <c r="T185" s="49" t="s">
        <v>261</v>
      </c>
      <c r="U185" s="49">
        <v>2500</v>
      </c>
      <c r="V185" s="49">
        <v>2500</v>
      </c>
    </row>
    <row r="186" spans="1:22" ht="15" customHeight="1" x14ac:dyDescent="0.25">
      <c r="A186" s="3" t="s">
        <v>17</v>
      </c>
      <c r="B186" s="1" t="s">
        <v>51</v>
      </c>
      <c r="C186" s="1" t="s">
        <v>52</v>
      </c>
      <c r="D186" s="1" t="s">
        <v>53</v>
      </c>
      <c r="E186" s="1" t="s">
        <v>54</v>
      </c>
      <c r="F186" s="49" t="s">
        <v>202</v>
      </c>
      <c r="G186" s="49">
        <v>2700</v>
      </c>
      <c r="H186" s="49">
        <v>2700</v>
      </c>
      <c r="I186" s="49" t="s">
        <v>261</v>
      </c>
      <c r="J186" s="49" t="s">
        <v>261</v>
      </c>
      <c r="K186" s="49" t="s">
        <v>261</v>
      </c>
      <c r="L186" s="49" t="s">
        <v>261</v>
      </c>
      <c r="M186" s="49" t="s">
        <v>261</v>
      </c>
      <c r="N186" s="49" t="s">
        <v>261</v>
      </c>
      <c r="O186" s="49" t="s">
        <v>261</v>
      </c>
      <c r="P186" s="49" t="s">
        <v>261</v>
      </c>
      <c r="Q186" s="49" t="s">
        <v>261</v>
      </c>
      <c r="R186" s="49" t="s">
        <v>261</v>
      </c>
      <c r="S186" s="49" t="s">
        <v>261</v>
      </c>
      <c r="T186" s="49" t="s">
        <v>261</v>
      </c>
      <c r="U186" s="49">
        <v>2700</v>
      </c>
      <c r="V186" s="49">
        <v>2700</v>
      </c>
    </row>
    <row r="187" spans="1:22" ht="15" customHeight="1" x14ac:dyDescent="0.25">
      <c r="A187" s="3" t="s">
        <v>17</v>
      </c>
      <c r="B187" s="1" t="s">
        <v>65</v>
      </c>
      <c r="C187" s="1" t="s">
        <v>66</v>
      </c>
      <c r="D187" s="1" t="s">
        <v>67</v>
      </c>
      <c r="E187" s="1" t="s">
        <v>38</v>
      </c>
      <c r="F187" s="49" t="s">
        <v>202</v>
      </c>
      <c r="G187" s="49">
        <v>3000</v>
      </c>
      <c r="H187" s="49">
        <v>3000</v>
      </c>
      <c r="I187" s="49">
        <v>113</v>
      </c>
      <c r="J187" s="49">
        <v>113</v>
      </c>
      <c r="K187" s="49" t="s">
        <v>261</v>
      </c>
      <c r="L187" s="49" t="s">
        <v>261</v>
      </c>
      <c r="M187" s="49" t="s">
        <v>261</v>
      </c>
      <c r="N187" s="49" t="s">
        <v>261</v>
      </c>
      <c r="O187" s="49" t="s">
        <v>261</v>
      </c>
      <c r="P187" s="49" t="s">
        <v>261</v>
      </c>
      <c r="Q187" s="49" t="s">
        <v>261</v>
      </c>
      <c r="R187" s="49" t="s">
        <v>261</v>
      </c>
      <c r="S187" s="49" t="s">
        <v>261</v>
      </c>
      <c r="T187" s="49" t="s">
        <v>261</v>
      </c>
      <c r="U187" s="49">
        <v>3113</v>
      </c>
      <c r="V187" s="49">
        <v>3113</v>
      </c>
    </row>
    <row r="188" spans="1:22" ht="15" customHeight="1" x14ac:dyDescent="0.25">
      <c r="A188" s="3" t="s">
        <v>17</v>
      </c>
      <c r="B188" s="1" t="s">
        <v>61</v>
      </c>
      <c r="C188" s="1" t="s">
        <v>62</v>
      </c>
      <c r="D188" s="1" t="s">
        <v>63</v>
      </c>
      <c r="E188" s="1" t="s">
        <v>64</v>
      </c>
      <c r="F188" s="49" t="s">
        <v>202</v>
      </c>
      <c r="G188" s="49">
        <v>3200</v>
      </c>
      <c r="H188" s="49">
        <v>3200</v>
      </c>
      <c r="I188" s="49" t="s">
        <v>261</v>
      </c>
      <c r="J188" s="49" t="s">
        <v>261</v>
      </c>
      <c r="K188" s="49" t="s">
        <v>261</v>
      </c>
      <c r="L188" s="49" t="s">
        <v>261</v>
      </c>
      <c r="M188" s="49" t="s">
        <v>261</v>
      </c>
      <c r="N188" s="49" t="s">
        <v>261</v>
      </c>
      <c r="O188" s="49" t="s">
        <v>261</v>
      </c>
      <c r="P188" s="49" t="s">
        <v>261</v>
      </c>
      <c r="Q188" s="49" t="s">
        <v>261</v>
      </c>
      <c r="R188" s="49" t="s">
        <v>261</v>
      </c>
      <c r="S188" s="49" t="s">
        <v>261</v>
      </c>
      <c r="T188" s="49" t="s">
        <v>261</v>
      </c>
      <c r="U188" s="49">
        <v>3200</v>
      </c>
      <c r="V188" s="49">
        <v>3200</v>
      </c>
    </row>
    <row r="189" spans="1:22" ht="15" customHeight="1" x14ac:dyDescent="0.25">
      <c r="A189" s="3" t="s">
        <v>17</v>
      </c>
      <c r="B189" s="1" t="s">
        <v>68</v>
      </c>
      <c r="C189" s="1" t="s">
        <v>69</v>
      </c>
      <c r="D189" s="1" t="s">
        <v>70</v>
      </c>
      <c r="E189" s="1" t="s">
        <v>71</v>
      </c>
      <c r="F189" s="49" t="s">
        <v>202</v>
      </c>
      <c r="G189" s="49">
        <v>2500</v>
      </c>
      <c r="H189" s="49">
        <v>2500</v>
      </c>
      <c r="I189" s="49" t="s">
        <v>261</v>
      </c>
      <c r="J189" s="49" t="s">
        <v>261</v>
      </c>
      <c r="K189" s="49" t="s">
        <v>261</v>
      </c>
      <c r="L189" s="49" t="s">
        <v>261</v>
      </c>
      <c r="M189" s="49" t="s">
        <v>261</v>
      </c>
      <c r="N189" s="49" t="s">
        <v>261</v>
      </c>
      <c r="O189" s="49" t="s">
        <v>261</v>
      </c>
      <c r="P189" s="49" t="s">
        <v>261</v>
      </c>
      <c r="Q189" s="49" t="s">
        <v>261</v>
      </c>
      <c r="R189" s="49" t="s">
        <v>261</v>
      </c>
      <c r="S189" s="49" t="s">
        <v>261</v>
      </c>
      <c r="T189" s="49" t="s">
        <v>261</v>
      </c>
      <c r="U189" s="49">
        <v>2500</v>
      </c>
      <c r="V189" s="49">
        <v>2500</v>
      </c>
    </row>
    <row r="190" spans="1:22" ht="15" customHeight="1" x14ac:dyDescent="0.25">
      <c r="G190" s="89">
        <f t="shared" ref="G190:V190" si="9">SUM(G175:G189)</f>
        <v>66300</v>
      </c>
      <c r="H190" s="89">
        <f t="shared" si="9"/>
        <v>66300</v>
      </c>
      <c r="I190" s="89">
        <f t="shared" si="9"/>
        <v>678</v>
      </c>
      <c r="J190" s="89">
        <f t="shared" si="9"/>
        <v>678</v>
      </c>
      <c r="K190" s="89">
        <f t="shared" si="9"/>
        <v>0</v>
      </c>
      <c r="L190" s="89">
        <f t="shared" si="9"/>
        <v>0</v>
      </c>
      <c r="M190" s="89">
        <f t="shared" si="9"/>
        <v>0</v>
      </c>
      <c r="N190" s="89">
        <f t="shared" si="9"/>
        <v>0</v>
      </c>
      <c r="O190" s="89">
        <f t="shared" si="9"/>
        <v>0</v>
      </c>
      <c r="P190" s="89">
        <f t="shared" si="9"/>
        <v>0</v>
      </c>
      <c r="Q190" s="89">
        <f t="shared" si="9"/>
        <v>0</v>
      </c>
      <c r="R190" s="89">
        <f t="shared" si="9"/>
        <v>0</v>
      </c>
      <c r="S190" s="89">
        <f t="shared" si="9"/>
        <v>0</v>
      </c>
      <c r="T190" s="89">
        <f t="shared" si="9"/>
        <v>0</v>
      </c>
      <c r="U190" s="89">
        <f t="shared" si="9"/>
        <v>66978</v>
      </c>
      <c r="V190" s="89">
        <f t="shared" si="9"/>
        <v>66978</v>
      </c>
    </row>
    <row r="192" spans="1:22" ht="15" customHeight="1" x14ac:dyDescent="0.25">
      <c r="A192" s="90">
        <v>45962</v>
      </c>
    </row>
    <row r="193" spans="1:23" ht="15" customHeight="1" x14ac:dyDescent="0.25">
      <c r="A193" s="3" t="s">
        <v>17</v>
      </c>
      <c r="B193" s="1" t="s">
        <v>18</v>
      </c>
      <c r="C193" s="1" t="s">
        <v>19</v>
      </c>
      <c r="D193" s="1" t="s">
        <v>20</v>
      </c>
      <c r="E193" s="1" t="s">
        <v>21</v>
      </c>
      <c r="F193" s="49" t="s">
        <v>202</v>
      </c>
      <c r="G193" s="49">
        <v>3800</v>
      </c>
      <c r="H193" s="49">
        <v>3800</v>
      </c>
      <c r="I193" s="49" t="s">
        <v>261</v>
      </c>
      <c r="J193" s="49" t="s">
        <v>261</v>
      </c>
      <c r="K193" s="49" t="s">
        <v>261</v>
      </c>
      <c r="L193" s="49" t="s">
        <v>261</v>
      </c>
      <c r="M193" s="49" t="s">
        <v>261</v>
      </c>
      <c r="N193" s="49" t="s">
        <v>261</v>
      </c>
      <c r="O193" s="49">
        <v>2216.67</v>
      </c>
      <c r="P193" s="49">
        <v>2216.67</v>
      </c>
      <c r="Q193" s="49" t="s">
        <v>261</v>
      </c>
      <c r="R193" s="49" t="s">
        <v>261</v>
      </c>
      <c r="S193" s="49" t="s">
        <v>261</v>
      </c>
      <c r="T193" s="49" t="s">
        <v>261</v>
      </c>
      <c r="U193" s="49">
        <v>3800</v>
      </c>
      <c r="V193" s="49">
        <v>3800</v>
      </c>
      <c r="W193" s="49"/>
    </row>
    <row r="194" spans="1:23" ht="15" customHeight="1" x14ac:dyDescent="0.25">
      <c r="A194" s="3" t="s">
        <v>17</v>
      </c>
      <c r="B194" s="1" t="s">
        <v>33</v>
      </c>
      <c r="C194" s="1" t="s">
        <v>19</v>
      </c>
      <c r="D194" s="1" t="s">
        <v>25</v>
      </c>
      <c r="E194" s="1" t="s">
        <v>34</v>
      </c>
      <c r="F194" s="49" t="s">
        <v>202</v>
      </c>
      <c r="G194" s="49">
        <v>10000</v>
      </c>
      <c r="H194" s="49">
        <v>10000</v>
      </c>
      <c r="I194" s="49">
        <v>113</v>
      </c>
      <c r="J194" s="49">
        <v>113</v>
      </c>
      <c r="K194" s="49" t="s">
        <v>261</v>
      </c>
      <c r="L194" s="49" t="s">
        <v>261</v>
      </c>
      <c r="M194" s="49" t="s">
        <v>261</v>
      </c>
      <c r="N194" s="49" t="s">
        <v>261</v>
      </c>
      <c r="O194" s="49">
        <v>5899.25</v>
      </c>
      <c r="P194" s="49">
        <v>5899.25</v>
      </c>
      <c r="Q194" s="49" t="s">
        <v>261</v>
      </c>
      <c r="R194" s="49" t="s">
        <v>261</v>
      </c>
      <c r="S194" s="49" t="s">
        <v>261</v>
      </c>
      <c r="T194" s="49" t="s">
        <v>261</v>
      </c>
      <c r="U194" s="49">
        <v>10113</v>
      </c>
      <c r="V194" s="49">
        <v>10113</v>
      </c>
      <c r="W194" s="49"/>
    </row>
    <row r="195" spans="1:23" ht="15" customHeight="1" x14ac:dyDescent="0.25">
      <c r="A195" s="3" t="s">
        <v>17</v>
      </c>
      <c r="B195" s="1" t="s">
        <v>24</v>
      </c>
      <c r="C195" s="1" t="s">
        <v>19</v>
      </c>
      <c r="D195" s="1" t="s">
        <v>25</v>
      </c>
      <c r="E195" s="1" t="s">
        <v>26</v>
      </c>
      <c r="F195" s="49" t="s">
        <v>202</v>
      </c>
      <c r="G195" s="49">
        <v>15000</v>
      </c>
      <c r="H195" s="49">
        <v>15000</v>
      </c>
      <c r="I195" s="49" t="s">
        <v>261</v>
      </c>
      <c r="J195" s="49" t="s">
        <v>261</v>
      </c>
      <c r="K195" s="49" t="s">
        <v>261</v>
      </c>
      <c r="L195" s="49" t="s">
        <v>261</v>
      </c>
      <c r="M195" s="49" t="s">
        <v>261</v>
      </c>
      <c r="N195" s="49" t="s">
        <v>261</v>
      </c>
      <c r="O195" s="49">
        <v>8750</v>
      </c>
      <c r="P195" s="49">
        <v>8750</v>
      </c>
      <c r="Q195" s="49" t="s">
        <v>261</v>
      </c>
      <c r="R195" s="49" t="s">
        <v>261</v>
      </c>
      <c r="S195" s="49" t="s">
        <v>261</v>
      </c>
      <c r="T195" s="49" t="s">
        <v>261</v>
      </c>
      <c r="U195" s="49">
        <v>15000</v>
      </c>
      <c r="V195" s="49">
        <v>15000</v>
      </c>
      <c r="W195" s="49"/>
    </row>
    <row r="196" spans="1:23" ht="15" customHeight="1" x14ac:dyDescent="0.25">
      <c r="A196" s="3" t="s">
        <v>17</v>
      </c>
      <c r="B196" s="1" t="s">
        <v>55</v>
      </c>
      <c r="C196" s="1" t="s">
        <v>56</v>
      </c>
      <c r="D196" s="1" t="s">
        <v>28</v>
      </c>
      <c r="E196" s="1" t="s">
        <v>57</v>
      </c>
      <c r="F196" s="49" t="s">
        <v>202</v>
      </c>
      <c r="G196" s="49">
        <v>3500</v>
      </c>
      <c r="H196" s="49">
        <v>3500</v>
      </c>
      <c r="I196" s="49" t="s">
        <v>261</v>
      </c>
      <c r="J196" s="49" t="s">
        <v>261</v>
      </c>
      <c r="K196" s="49" t="s">
        <v>261</v>
      </c>
      <c r="L196" s="49" t="s">
        <v>261</v>
      </c>
      <c r="M196" s="49" t="s">
        <v>261</v>
      </c>
      <c r="N196" s="49" t="s">
        <v>261</v>
      </c>
      <c r="O196" s="49">
        <v>2041.67</v>
      </c>
      <c r="P196" s="49">
        <v>2041.67</v>
      </c>
      <c r="Q196" s="49" t="s">
        <v>261</v>
      </c>
      <c r="R196" s="49" t="s">
        <v>261</v>
      </c>
      <c r="S196" s="49" t="s">
        <v>261</v>
      </c>
      <c r="T196" s="49" t="s">
        <v>261</v>
      </c>
      <c r="U196" s="49">
        <v>3500</v>
      </c>
      <c r="V196" s="49">
        <v>3500</v>
      </c>
      <c r="W196" s="49"/>
    </row>
    <row r="197" spans="1:23" ht="15" customHeight="1" x14ac:dyDescent="0.25">
      <c r="A197" s="3" t="s">
        <v>17</v>
      </c>
      <c r="B197" s="1" t="s">
        <v>47</v>
      </c>
      <c r="C197" s="1" t="s">
        <v>48</v>
      </c>
      <c r="D197" s="1" t="s">
        <v>49</v>
      </c>
      <c r="E197" s="1" t="s">
        <v>50</v>
      </c>
      <c r="F197" s="49" t="s">
        <v>202</v>
      </c>
      <c r="G197" s="49">
        <v>3800</v>
      </c>
      <c r="H197" s="49">
        <v>3800</v>
      </c>
      <c r="I197" s="49" t="s">
        <v>261</v>
      </c>
      <c r="J197" s="49" t="s">
        <v>261</v>
      </c>
      <c r="K197" s="49" t="s">
        <v>261</v>
      </c>
      <c r="L197" s="49" t="s">
        <v>261</v>
      </c>
      <c r="M197" s="49" t="s">
        <v>261</v>
      </c>
      <c r="N197" s="49" t="s">
        <v>261</v>
      </c>
      <c r="O197" s="49">
        <v>2216.67</v>
      </c>
      <c r="P197" s="49">
        <v>2216.67</v>
      </c>
      <c r="Q197" s="49" t="s">
        <v>261</v>
      </c>
      <c r="R197" s="49" t="s">
        <v>261</v>
      </c>
      <c r="S197" s="49" t="s">
        <v>261</v>
      </c>
      <c r="T197" s="49" t="s">
        <v>261</v>
      </c>
      <c r="U197" s="49">
        <v>3800</v>
      </c>
      <c r="V197" s="49">
        <v>3800</v>
      </c>
      <c r="W197" s="49"/>
    </row>
    <row r="198" spans="1:23" ht="15" customHeight="1" x14ac:dyDescent="0.25">
      <c r="A198" s="3" t="s">
        <v>17</v>
      </c>
      <c r="B198" s="1" t="s">
        <v>58</v>
      </c>
      <c r="C198" s="1" t="s">
        <v>49</v>
      </c>
      <c r="D198" s="1" t="s">
        <v>59</v>
      </c>
      <c r="E198" s="1" t="s">
        <v>60</v>
      </c>
      <c r="F198" s="49" t="s">
        <v>202</v>
      </c>
      <c r="G198" s="49">
        <v>3800</v>
      </c>
      <c r="H198" s="49">
        <v>3800</v>
      </c>
      <c r="I198" s="49">
        <v>113</v>
      </c>
      <c r="J198" s="49">
        <v>113</v>
      </c>
      <c r="K198" s="49" t="s">
        <v>261</v>
      </c>
      <c r="L198" s="49" t="s">
        <v>261</v>
      </c>
      <c r="M198" s="49" t="s">
        <v>261</v>
      </c>
      <c r="N198" s="49" t="s">
        <v>261</v>
      </c>
      <c r="O198" s="49">
        <v>2282.58</v>
      </c>
      <c r="P198" s="49">
        <v>2282.58</v>
      </c>
      <c r="Q198" s="49" t="s">
        <v>261</v>
      </c>
      <c r="R198" s="49" t="s">
        <v>261</v>
      </c>
      <c r="S198" s="49" t="s">
        <v>261</v>
      </c>
      <c r="T198" s="49" t="s">
        <v>261</v>
      </c>
      <c r="U198" s="49">
        <v>3913</v>
      </c>
      <c r="V198" s="49">
        <v>3913</v>
      </c>
      <c r="W198" s="49"/>
    </row>
    <row r="199" spans="1:23" ht="15" customHeight="1" x14ac:dyDescent="0.25">
      <c r="A199" s="3" t="s">
        <v>17</v>
      </c>
      <c r="B199" s="1" t="s">
        <v>35</v>
      </c>
      <c r="C199" s="1" t="s">
        <v>36</v>
      </c>
      <c r="D199" s="1" t="s">
        <v>37</v>
      </c>
      <c r="E199" s="1" t="s">
        <v>38</v>
      </c>
      <c r="F199" s="49" t="s">
        <v>202</v>
      </c>
      <c r="G199" s="49">
        <v>2700</v>
      </c>
      <c r="H199" s="49">
        <v>2700</v>
      </c>
      <c r="I199" s="49">
        <v>113</v>
      </c>
      <c r="J199" s="49">
        <v>113</v>
      </c>
      <c r="K199" s="49" t="s">
        <v>261</v>
      </c>
      <c r="L199" s="49" t="s">
        <v>261</v>
      </c>
      <c r="M199" s="49" t="s">
        <v>261</v>
      </c>
      <c r="N199" s="49" t="s">
        <v>261</v>
      </c>
      <c r="O199" s="49">
        <v>1640.92</v>
      </c>
      <c r="P199" s="49">
        <v>1640.92</v>
      </c>
      <c r="Q199" s="49" t="s">
        <v>261</v>
      </c>
      <c r="R199" s="49" t="s">
        <v>261</v>
      </c>
      <c r="S199" s="49" t="s">
        <v>261</v>
      </c>
      <c r="T199" s="49" t="s">
        <v>261</v>
      </c>
      <c r="U199" s="49">
        <v>2813</v>
      </c>
      <c r="V199" s="49">
        <v>2813</v>
      </c>
      <c r="W199" s="49"/>
    </row>
    <row r="200" spans="1:23" ht="15" customHeight="1" x14ac:dyDescent="0.25">
      <c r="A200" s="3" t="s">
        <v>17</v>
      </c>
      <c r="B200" s="1" t="s">
        <v>27</v>
      </c>
      <c r="C200" s="1" t="s">
        <v>28</v>
      </c>
      <c r="D200" s="1" t="s">
        <v>29</v>
      </c>
      <c r="E200" s="1" t="s">
        <v>30</v>
      </c>
      <c r="F200" s="49" t="s">
        <v>202</v>
      </c>
      <c r="G200" s="49">
        <v>3800</v>
      </c>
      <c r="H200" s="49">
        <v>3800</v>
      </c>
      <c r="I200" s="49">
        <v>113</v>
      </c>
      <c r="J200" s="49">
        <v>113</v>
      </c>
      <c r="K200" s="49" t="s">
        <v>261</v>
      </c>
      <c r="L200" s="49" t="s">
        <v>261</v>
      </c>
      <c r="M200" s="49" t="s">
        <v>261</v>
      </c>
      <c r="N200" s="49" t="s">
        <v>261</v>
      </c>
      <c r="O200" s="49">
        <v>2282.58</v>
      </c>
      <c r="P200" s="49">
        <v>2282.58</v>
      </c>
      <c r="Q200" s="49" t="s">
        <v>261</v>
      </c>
      <c r="R200" s="49" t="s">
        <v>261</v>
      </c>
      <c r="S200" s="49" t="s">
        <v>261</v>
      </c>
      <c r="T200" s="49" t="s">
        <v>261</v>
      </c>
      <c r="U200" s="49">
        <v>3913</v>
      </c>
      <c r="V200" s="49">
        <v>3913</v>
      </c>
      <c r="W200" s="49"/>
    </row>
    <row r="201" spans="1:23" ht="15" customHeight="1" x14ac:dyDescent="0.25">
      <c r="A201" s="3" t="s">
        <v>17</v>
      </c>
      <c r="B201" s="1" t="s">
        <v>39</v>
      </c>
      <c r="C201" s="1" t="s">
        <v>40</v>
      </c>
      <c r="D201" s="1" t="s">
        <v>41</v>
      </c>
      <c r="E201" s="1" t="s">
        <v>42</v>
      </c>
      <c r="F201" s="49" t="s">
        <v>202</v>
      </c>
      <c r="G201" s="49">
        <v>3200</v>
      </c>
      <c r="H201" s="49">
        <v>3200</v>
      </c>
      <c r="I201" s="49" t="s">
        <v>261</v>
      </c>
      <c r="J201" s="49" t="s">
        <v>261</v>
      </c>
      <c r="K201" s="49" t="s">
        <v>261</v>
      </c>
      <c r="L201" s="49" t="s">
        <v>261</v>
      </c>
      <c r="M201" s="49" t="s">
        <v>261</v>
      </c>
      <c r="N201" s="49" t="s">
        <v>261</v>
      </c>
      <c r="O201" s="49">
        <v>1866.67</v>
      </c>
      <c r="P201" s="49">
        <v>1866.67</v>
      </c>
      <c r="Q201" s="49" t="s">
        <v>261</v>
      </c>
      <c r="R201" s="49" t="s">
        <v>261</v>
      </c>
      <c r="S201" s="49" t="s">
        <v>261</v>
      </c>
      <c r="T201" s="49" t="s">
        <v>261</v>
      </c>
      <c r="U201" s="49">
        <v>3200</v>
      </c>
      <c r="V201" s="49">
        <v>3200</v>
      </c>
      <c r="W201" s="49"/>
    </row>
    <row r="202" spans="1:23" ht="15" customHeight="1" x14ac:dyDescent="0.25">
      <c r="A202" s="3" t="s">
        <v>17</v>
      </c>
      <c r="B202" s="1" t="s">
        <v>43</v>
      </c>
      <c r="C202" s="1" t="s">
        <v>44</v>
      </c>
      <c r="D202" s="1" t="s">
        <v>45</v>
      </c>
      <c r="E202" s="1" t="s">
        <v>46</v>
      </c>
      <c r="F202" s="49" t="s">
        <v>202</v>
      </c>
      <c r="G202" s="49">
        <v>2800</v>
      </c>
      <c r="H202" s="49">
        <v>2800</v>
      </c>
      <c r="I202" s="49">
        <v>113</v>
      </c>
      <c r="J202" s="49">
        <v>113</v>
      </c>
      <c r="K202" s="49" t="s">
        <v>261</v>
      </c>
      <c r="L202" s="49" t="s">
        <v>261</v>
      </c>
      <c r="M202" s="49" t="s">
        <v>261</v>
      </c>
      <c r="N202" s="49" t="s">
        <v>261</v>
      </c>
      <c r="O202" s="49">
        <v>1699.25</v>
      </c>
      <c r="P202" s="49">
        <v>1699.25</v>
      </c>
      <c r="Q202" s="49" t="s">
        <v>261</v>
      </c>
      <c r="R202" s="49" t="s">
        <v>261</v>
      </c>
      <c r="S202" s="49" t="s">
        <v>261</v>
      </c>
      <c r="T202" s="49" t="s">
        <v>261</v>
      </c>
      <c r="U202" s="49">
        <v>2913</v>
      </c>
      <c r="V202" s="49">
        <v>2913</v>
      </c>
      <c r="W202" s="49"/>
    </row>
    <row r="203" spans="1:23" ht="15" customHeight="1" x14ac:dyDescent="0.25">
      <c r="A203" s="3" t="s">
        <v>17</v>
      </c>
      <c r="B203" s="1" t="s">
        <v>72</v>
      </c>
      <c r="C203" s="1" t="s">
        <v>28</v>
      </c>
      <c r="D203" s="1" t="s">
        <v>73</v>
      </c>
      <c r="E203" s="1" t="s">
        <v>74</v>
      </c>
      <c r="F203" s="49" t="s">
        <v>202</v>
      </c>
      <c r="G203" s="49">
        <v>2416.67</v>
      </c>
      <c r="H203" s="49">
        <v>2416.67</v>
      </c>
      <c r="I203" s="49" t="s">
        <v>261</v>
      </c>
      <c r="J203" s="49" t="s">
        <v>261</v>
      </c>
      <c r="K203" s="49" t="s">
        <v>261</v>
      </c>
      <c r="L203" s="49" t="s">
        <v>261</v>
      </c>
      <c r="M203" s="49" t="s">
        <v>261</v>
      </c>
      <c r="N203" s="49" t="s">
        <v>261</v>
      </c>
      <c r="O203" s="49">
        <v>1458.33</v>
      </c>
      <c r="P203" s="49">
        <v>1458.33</v>
      </c>
      <c r="Q203" s="49">
        <v>83.33</v>
      </c>
      <c r="R203" s="49">
        <v>83.33</v>
      </c>
      <c r="S203" s="49" t="s">
        <v>261</v>
      </c>
      <c r="T203" s="49" t="s">
        <v>261</v>
      </c>
      <c r="U203" s="49">
        <v>2500</v>
      </c>
      <c r="V203" s="49">
        <v>2500</v>
      </c>
      <c r="W203" s="49"/>
    </row>
    <row r="204" spans="1:23" ht="15" customHeight="1" x14ac:dyDescent="0.25">
      <c r="A204" s="3" t="s">
        <v>17</v>
      </c>
      <c r="B204" s="1" t="s">
        <v>51</v>
      </c>
      <c r="C204" s="1" t="s">
        <v>52</v>
      </c>
      <c r="D204" s="1" t="s">
        <v>53</v>
      </c>
      <c r="E204" s="1" t="s">
        <v>54</v>
      </c>
      <c r="F204" s="49" t="s">
        <v>202</v>
      </c>
      <c r="G204" s="49">
        <v>2430</v>
      </c>
      <c r="H204" s="49">
        <v>2430</v>
      </c>
      <c r="I204" s="49" t="s">
        <v>261</v>
      </c>
      <c r="J204" s="49" t="s">
        <v>261</v>
      </c>
      <c r="K204" s="49" t="s">
        <v>261</v>
      </c>
      <c r="L204" s="49" t="s">
        <v>261</v>
      </c>
      <c r="M204" s="49" t="s">
        <v>261</v>
      </c>
      <c r="N204" s="49" t="s">
        <v>261</v>
      </c>
      <c r="O204" s="49">
        <v>1575</v>
      </c>
      <c r="P204" s="49">
        <v>1575</v>
      </c>
      <c r="Q204" s="49">
        <v>270</v>
      </c>
      <c r="R204" s="49">
        <v>270</v>
      </c>
      <c r="S204" s="49" t="s">
        <v>261</v>
      </c>
      <c r="T204" s="49" t="s">
        <v>261</v>
      </c>
      <c r="U204" s="49">
        <v>2700</v>
      </c>
      <c r="V204" s="49">
        <v>2700</v>
      </c>
      <c r="W204" s="49"/>
    </row>
    <row r="205" spans="1:23" ht="15" customHeight="1" x14ac:dyDescent="0.25">
      <c r="A205" s="3" t="s">
        <v>17</v>
      </c>
      <c r="B205" s="1" t="s">
        <v>65</v>
      </c>
      <c r="C205" s="1" t="s">
        <v>66</v>
      </c>
      <c r="D205" s="1" t="s">
        <v>67</v>
      </c>
      <c r="E205" s="1" t="s">
        <v>38</v>
      </c>
      <c r="F205" s="49" t="s">
        <v>202</v>
      </c>
      <c r="G205" s="49">
        <v>3105.47</v>
      </c>
      <c r="H205" s="49">
        <v>3105.47</v>
      </c>
      <c r="I205" s="49">
        <v>7.53</v>
      </c>
      <c r="J205" s="49">
        <v>7.53</v>
      </c>
      <c r="K205" s="49" t="s">
        <v>261</v>
      </c>
      <c r="L205" s="49" t="s">
        <v>261</v>
      </c>
      <c r="M205" s="49" t="s">
        <v>261</v>
      </c>
      <c r="N205" s="49" t="s">
        <v>261</v>
      </c>
      <c r="O205" s="49">
        <v>1815.92</v>
      </c>
      <c r="P205" s="49">
        <v>1815.92</v>
      </c>
      <c r="Q205" s="49">
        <v>207.53</v>
      </c>
      <c r="R205" s="49">
        <v>207.53</v>
      </c>
      <c r="S205" s="49" t="s">
        <v>261</v>
      </c>
      <c r="T205" s="49" t="s">
        <v>261</v>
      </c>
      <c r="U205" s="49">
        <v>3113</v>
      </c>
      <c r="V205" s="49">
        <v>3113</v>
      </c>
      <c r="W205" s="49"/>
    </row>
    <row r="206" spans="1:23" ht="15" customHeight="1" x14ac:dyDescent="0.25">
      <c r="A206" s="3" t="s">
        <v>17</v>
      </c>
      <c r="B206" s="1" t="s">
        <v>61</v>
      </c>
      <c r="C206" s="1" t="s">
        <v>62</v>
      </c>
      <c r="D206" s="1" t="s">
        <v>63</v>
      </c>
      <c r="E206" s="1" t="s">
        <v>64</v>
      </c>
      <c r="F206" s="49" t="s">
        <v>202</v>
      </c>
      <c r="G206" s="49">
        <v>3200</v>
      </c>
      <c r="H206" s="49">
        <v>3200</v>
      </c>
      <c r="I206" s="49" t="s">
        <v>261</v>
      </c>
      <c r="J206" s="49" t="s">
        <v>261</v>
      </c>
      <c r="K206" s="49" t="s">
        <v>261</v>
      </c>
      <c r="L206" s="49" t="s">
        <v>261</v>
      </c>
      <c r="M206" s="49" t="s">
        <v>261</v>
      </c>
      <c r="N206" s="49" t="s">
        <v>261</v>
      </c>
      <c r="O206" s="49">
        <v>1866.67</v>
      </c>
      <c r="P206" s="49">
        <v>1866.67</v>
      </c>
      <c r="Q206" s="49" t="s">
        <v>261</v>
      </c>
      <c r="R206" s="49" t="s">
        <v>261</v>
      </c>
      <c r="S206" s="49" t="s">
        <v>261</v>
      </c>
      <c r="T206" s="49" t="s">
        <v>261</v>
      </c>
      <c r="U206" s="49">
        <v>3200</v>
      </c>
      <c r="V206" s="49">
        <v>3200</v>
      </c>
      <c r="W206" s="49"/>
    </row>
    <row r="207" spans="1:23" ht="15" customHeight="1" x14ac:dyDescent="0.25">
      <c r="A207" s="3" t="s">
        <v>17</v>
      </c>
      <c r="B207" s="1" t="s">
        <v>68</v>
      </c>
      <c r="C207" s="1" t="s">
        <v>69</v>
      </c>
      <c r="D207" s="1" t="s">
        <v>70</v>
      </c>
      <c r="E207" s="1" t="s">
        <v>71</v>
      </c>
      <c r="F207" s="49" t="s">
        <v>202</v>
      </c>
      <c r="G207" s="49">
        <v>2500</v>
      </c>
      <c r="H207" s="49">
        <v>2500</v>
      </c>
      <c r="I207" s="49" t="s">
        <v>261</v>
      </c>
      <c r="J207" s="49" t="s">
        <v>261</v>
      </c>
      <c r="K207" s="49" t="s">
        <v>261</v>
      </c>
      <c r="L207" s="49" t="s">
        <v>261</v>
      </c>
      <c r="M207" s="49" t="s">
        <v>261</v>
      </c>
      <c r="N207" s="49" t="s">
        <v>261</v>
      </c>
      <c r="O207" s="49">
        <v>1458.33</v>
      </c>
      <c r="P207" s="49">
        <v>1458.33</v>
      </c>
      <c r="Q207" s="49" t="s">
        <v>261</v>
      </c>
      <c r="R207" s="49" t="s">
        <v>261</v>
      </c>
      <c r="S207" s="49" t="s">
        <v>261</v>
      </c>
      <c r="T207" s="49" t="s">
        <v>261</v>
      </c>
      <c r="U207" s="49">
        <v>2500</v>
      </c>
      <c r="V207" s="49">
        <v>2500</v>
      </c>
      <c r="W207" s="49"/>
    </row>
    <row r="208" spans="1:23" ht="15" customHeight="1" x14ac:dyDescent="0.25">
      <c r="G208" s="89">
        <f t="shared" ref="G208:V208" si="10">SUM(G193:G207)</f>
        <v>66052.14</v>
      </c>
      <c r="H208" s="89">
        <f t="shared" si="10"/>
        <v>66052.14</v>
      </c>
      <c r="I208" s="89">
        <f t="shared" si="10"/>
        <v>572.53</v>
      </c>
      <c r="J208" s="89">
        <f t="shared" si="10"/>
        <v>572.53</v>
      </c>
      <c r="K208" s="89">
        <f t="shared" si="10"/>
        <v>0</v>
      </c>
      <c r="L208" s="89">
        <f t="shared" si="10"/>
        <v>0</v>
      </c>
      <c r="M208" s="89">
        <f t="shared" si="10"/>
        <v>0</v>
      </c>
      <c r="N208" s="89">
        <f t="shared" si="10"/>
        <v>0</v>
      </c>
      <c r="O208" s="89">
        <f t="shared" si="10"/>
        <v>39070.509999999995</v>
      </c>
      <c r="P208" s="89">
        <f t="shared" si="10"/>
        <v>39070.509999999995</v>
      </c>
      <c r="Q208" s="89">
        <f t="shared" si="10"/>
        <v>560.86</v>
      </c>
      <c r="R208" s="89">
        <f t="shared" si="10"/>
        <v>560.86</v>
      </c>
      <c r="S208" s="89">
        <f t="shared" si="10"/>
        <v>0</v>
      </c>
      <c r="T208" s="89">
        <f t="shared" si="10"/>
        <v>0</v>
      </c>
      <c r="U208" s="89">
        <f t="shared" si="10"/>
        <v>66978</v>
      </c>
      <c r="V208" s="89">
        <f t="shared" si="10"/>
        <v>66978</v>
      </c>
      <c r="W208" s="49"/>
    </row>
    <row r="210" spans="1:24" ht="15" customHeight="1" x14ac:dyDescent="0.25">
      <c r="A210" s="90">
        <v>45992</v>
      </c>
    </row>
    <row r="211" spans="1:24" ht="15" customHeight="1" x14ac:dyDescent="0.25">
      <c r="A211" s="3" t="s">
        <v>17</v>
      </c>
      <c r="B211" s="1" t="s">
        <v>18</v>
      </c>
      <c r="C211" s="1" t="s">
        <v>19</v>
      </c>
      <c r="D211" s="1" t="s">
        <v>20</v>
      </c>
      <c r="E211" s="1" t="s">
        <v>21</v>
      </c>
      <c r="F211" s="49" t="s">
        <v>202</v>
      </c>
      <c r="G211" s="49">
        <v>3800</v>
      </c>
      <c r="H211" s="49">
        <v>3800</v>
      </c>
      <c r="I211" s="49">
        <v>250</v>
      </c>
      <c r="J211" s="49">
        <v>250</v>
      </c>
      <c r="K211" s="49">
        <v>256.5</v>
      </c>
      <c r="L211" s="49">
        <v>256.5</v>
      </c>
      <c r="M211" s="49">
        <v>3800</v>
      </c>
      <c r="N211" s="49">
        <v>3800</v>
      </c>
      <c r="O211" s="49" t="s">
        <v>261</v>
      </c>
      <c r="P211" s="49" t="s">
        <v>261</v>
      </c>
      <c r="Q211" s="49" t="s">
        <v>261</v>
      </c>
      <c r="R211" s="49" t="s">
        <v>261</v>
      </c>
      <c r="S211" s="49" t="s">
        <v>261</v>
      </c>
      <c r="T211" s="49" t="s">
        <v>261</v>
      </c>
      <c r="U211" s="49">
        <v>7600</v>
      </c>
      <c r="V211" s="49">
        <v>7600</v>
      </c>
      <c r="W211" s="49"/>
      <c r="X211" s="49"/>
    </row>
    <row r="212" spans="1:24" ht="15" customHeight="1" x14ac:dyDescent="0.25">
      <c r="A212" s="3" t="s">
        <v>17</v>
      </c>
      <c r="B212" s="1" t="s">
        <v>33</v>
      </c>
      <c r="C212" s="1" t="s">
        <v>19</v>
      </c>
      <c r="D212" s="1" t="s">
        <v>25</v>
      </c>
      <c r="E212" s="1" t="s">
        <v>34</v>
      </c>
      <c r="F212" s="49" t="s">
        <v>202</v>
      </c>
      <c r="G212" s="49">
        <v>10000</v>
      </c>
      <c r="H212" s="49">
        <v>10000</v>
      </c>
      <c r="I212" s="49">
        <v>363</v>
      </c>
      <c r="J212" s="49">
        <v>363</v>
      </c>
      <c r="K212" s="49">
        <v>910.17</v>
      </c>
      <c r="L212" s="49">
        <v>910.17</v>
      </c>
      <c r="M212" s="49">
        <v>10113</v>
      </c>
      <c r="N212" s="49">
        <v>10113</v>
      </c>
      <c r="O212" s="49" t="s">
        <v>261</v>
      </c>
      <c r="P212" s="49" t="s">
        <v>261</v>
      </c>
      <c r="Q212" s="49" t="s">
        <v>261</v>
      </c>
      <c r="R212" s="49" t="s">
        <v>261</v>
      </c>
      <c r="S212" s="49" t="s">
        <v>261</v>
      </c>
      <c r="T212" s="49" t="s">
        <v>261</v>
      </c>
      <c r="U212" s="49">
        <v>20226</v>
      </c>
      <c r="V212" s="49">
        <v>20226</v>
      </c>
      <c r="W212" s="49"/>
      <c r="X212" s="49"/>
    </row>
    <row r="213" spans="1:24" ht="15" customHeight="1" x14ac:dyDescent="0.25">
      <c r="A213" s="3" t="s">
        <v>17</v>
      </c>
      <c r="B213" s="1" t="s">
        <v>24</v>
      </c>
      <c r="C213" s="1" t="s">
        <v>19</v>
      </c>
      <c r="D213" s="1" t="s">
        <v>25</v>
      </c>
      <c r="E213" s="1" t="s">
        <v>26</v>
      </c>
      <c r="F213" s="49" t="s">
        <v>202</v>
      </c>
      <c r="G213" s="49">
        <v>15000</v>
      </c>
      <c r="H213" s="49">
        <v>15000</v>
      </c>
      <c r="I213" s="49">
        <v>250</v>
      </c>
      <c r="J213" s="49">
        <v>250</v>
      </c>
      <c r="K213" s="49">
        <v>1012.5</v>
      </c>
      <c r="L213" s="49">
        <v>1012.5</v>
      </c>
      <c r="M213" s="49">
        <v>15000</v>
      </c>
      <c r="N213" s="49">
        <v>15000</v>
      </c>
      <c r="O213" s="49" t="s">
        <v>261</v>
      </c>
      <c r="P213" s="49" t="s">
        <v>261</v>
      </c>
      <c r="Q213" s="49" t="s">
        <v>261</v>
      </c>
      <c r="R213" s="49" t="s">
        <v>261</v>
      </c>
      <c r="S213" s="49" t="s">
        <v>261</v>
      </c>
      <c r="T213" s="49" t="s">
        <v>261</v>
      </c>
      <c r="U213" s="49">
        <v>30000</v>
      </c>
      <c r="V213" s="49">
        <v>30000</v>
      </c>
      <c r="W213" s="49"/>
      <c r="X213" s="49"/>
    </row>
    <row r="214" spans="1:24" ht="15" customHeight="1" x14ac:dyDescent="0.25">
      <c r="A214" s="3" t="s">
        <v>17</v>
      </c>
      <c r="B214" s="1" t="s">
        <v>55</v>
      </c>
      <c r="C214" s="1" t="s">
        <v>56</v>
      </c>
      <c r="D214" s="1" t="s">
        <v>28</v>
      </c>
      <c r="E214" s="1" t="s">
        <v>57</v>
      </c>
      <c r="F214" s="49" t="s">
        <v>202</v>
      </c>
      <c r="G214" s="49">
        <v>3500</v>
      </c>
      <c r="H214" s="49">
        <v>3500</v>
      </c>
      <c r="I214" s="49">
        <v>250</v>
      </c>
      <c r="J214" s="49">
        <v>250</v>
      </c>
      <c r="K214" s="49">
        <v>236.25</v>
      </c>
      <c r="L214" s="49">
        <v>236.25</v>
      </c>
      <c r="M214" s="49">
        <v>3500</v>
      </c>
      <c r="N214" s="49">
        <v>3500</v>
      </c>
      <c r="O214" s="49" t="s">
        <v>261</v>
      </c>
      <c r="P214" s="49" t="s">
        <v>261</v>
      </c>
      <c r="Q214" s="49" t="s">
        <v>261</v>
      </c>
      <c r="R214" s="49" t="s">
        <v>261</v>
      </c>
      <c r="S214" s="49" t="s">
        <v>261</v>
      </c>
      <c r="T214" s="49" t="s">
        <v>261</v>
      </c>
      <c r="U214" s="49">
        <v>7000</v>
      </c>
      <c r="V214" s="49">
        <v>7000</v>
      </c>
      <c r="W214" s="49"/>
      <c r="X214" s="49"/>
    </row>
    <row r="215" spans="1:24" ht="15" customHeight="1" x14ac:dyDescent="0.25">
      <c r="A215" s="3" t="s">
        <v>17</v>
      </c>
      <c r="B215" s="1" t="s">
        <v>47</v>
      </c>
      <c r="C215" s="1" t="s">
        <v>48</v>
      </c>
      <c r="D215" s="1" t="s">
        <v>49</v>
      </c>
      <c r="E215" s="1" t="s">
        <v>50</v>
      </c>
      <c r="F215" s="49" t="s">
        <v>202</v>
      </c>
      <c r="G215" s="49">
        <v>3800</v>
      </c>
      <c r="H215" s="49">
        <v>3800</v>
      </c>
      <c r="I215" s="49">
        <v>250</v>
      </c>
      <c r="J215" s="49">
        <v>250</v>
      </c>
      <c r="K215" s="49">
        <v>2756.5</v>
      </c>
      <c r="L215" s="49">
        <v>2756.5</v>
      </c>
      <c r="M215" s="49">
        <v>3800</v>
      </c>
      <c r="N215" s="49">
        <v>3800</v>
      </c>
      <c r="O215" s="49" t="s">
        <v>261</v>
      </c>
      <c r="P215" s="49" t="s">
        <v>261</v>
      </c>
      <c r="Q215" s="49" t="s">
        <v>261</v>
      </c>
      <c r="R215" s="49" t="s">
        <v>261</v>
      </c>
      <c r="S215" s="49" t="s">
        <v>261</v>
      </c>
      <c r="T215" s="49" t="s">
        <v>261</v>
      </c>
      <c r="U215" s="49">
        <v>10100</v>
      </c>
      <c r="V215" s="49">
        <v>10100</v>
      </c>
      <c r="W215" s="49"/>
      <c r="X215" s="49"/>
    </row>
    <row r="216" spans="1:24" ht="15" customHeight="1" x14ac:dyDescent="0.25">
      <c r="A216" s="3" t="s">
        <v>17</v>
      </c>
      <c r="B216" s="1" t="s">
        <v>58</v>
      </c>
      <c r="C216" s="1" t="s">
        <v>49</v>
      </c>
      <c r="D216" s="1" t="s">
        <v>59</v>
      </c>
      <c r="E216" s="1" t="s">
        <v>60</v>
      </c>
      <c r="F216" s="49" t="s">
        <v>202</v>
      </c>
      <c r="G216" s="49">
        <v>3800</v>
      </c>
      <c r="H216" s="49">
        <v>3800</v>
      </c>
      <c r="I216" s="49">
        <v>363</v>
      </c>
      <c r="J216" s="49">
        <v>363</v>
      </c>
      <c r="K216" s="49">
        <v>3352.17</v>
      </c>
      <c r="L216" s="49">
        <v>3352.17</v>
      </c>
      <c r="M216" s="49">
        <v>3913</v>
      </c>
      <c r="N216" s="49">
        <v>3913</v>
      </c>
      <c r="O216" s="49" t="s">
        <v>261</v>
      </c>
      <c r="P216" s="49" t="s">
        <v>261</v>
      </c>
      <c r="Q216" s="49" t="s">
        <v>261</v>
      </c>
      <c r="R216" s="49" t="s">
        <v>261</v>
      </c>
      <c r="S216" s="49" t="s">
        <v>261</v>
      </c>
      <c r="T216" s="49" t="s">
        <v>261</v>
      </c>
      <c r="U216" s="49">
        <v>10826</v>
      </c>
      <c r="V216" s="49">
        <v>10826</v>
      </c>
      <c r="W216" s="49"/>
      <c r="X216" s="49"/>
    </row>
    <row r="217" spans="1:24" ht="15" customHeight="1" x14ac:dyDescent="0.25">
      <c r="A217" s="3" t="s">
        <v>17</v>
      </c>
      <c r="B217" s="1" t="s">
        <v>35</v>
      </c>
      <c r="C217" s="1" t="s">
        <v>36</v>
      </c>
      <c r="D217" s="1" t="s">
        <v>37</v>
      </c>
      <c r="E217" s="1" t="s">
        <v>38</v>
      </c>
      <c r="F217" s="49" t="s">
        <v>202</v>
      </c>
      <c r="G217" s="49">
        <v>2726.37</v>
      </c>
      <c r="H217" s="49">
        <v>2726.37</v>
      </c>
      <c r="I217" s="49">
        <v>336.63</v>
      </c>
      <c r="J217" s="49">
        <v>336.63</v>
      </c>
      <c r="K217" s="49">
        <v>1753.17</v>
      </c>
      <c r="L217" s="49">
        <v>1753.17</v>
      </c>
      <c r="M217" s="49">
        <v>2813</v>
      </c>
      <c r="N217" s="49">
        <v>2813</v>
      </c>
      <c r="O217" s="49" t="s">
        <v>261</v>
      </c>
      <c r="P217" s="49" t="s">
        <v>261</v>
      </c>
      <c r="Q217" s="49">
        <v>73.36</v>
      </c>
      <c r="R217" s="49">
        <v>73.36</v>
      </c>
      <c r="S217" s="49" t="s">
        <v>261</v>
      </c>
      <c r="T217" s="49" t="s">
        <v>261</v>
      </c>
      <c r="U217" s="49">
        <v>7126</v>
      </c>
      <c r="V217" s="49">
        <v>7126</v>
      </c>
      <c r="W217" s="49"/>
      <c r="X217" s="49"/>
    </row>
    <row r="218" spans="1:24" ht="15" customHeight="1" x14ac:dyDescent="0.25">
      <c r="A218" s="3" t="s">
        <v>17</v>
      </c>
      <c r="B218" s="1" t="s">
        <v>27</v>
      </c>
      <c r="C218" s="1" t="s">
        <v>28</v>
      </c>
      <c r="D218" s="1" t="s">
        <v>29</v>
      </c>
      <c r="E218" s="1" t="s">
        <v>30</v>
      </c>
      <c r="F218" s="49" t="s">
        <v>202</v>
      </c>
      <c r="G218" s="49">
        <v>3546.67</v>
      </c>
      <c r="H218" s="49">
        <v>3546.67</v>
      </c>
      <c r="I218" s="49">
        <v>363</v>
      </c>
      <c r="J218" s="49">
        <v>363</v>
      </c>
      <c r="K218" s="49">
        <v>2152.17</v>
      </c>
      <c r="L218" s="49">
        <v>2152.17</v>
      </c>
      <c r="M218" s="49">
        <v>3913</v>
      </c>
      <c r="N218" s="49">
        <v>3913</v>
      </c>
      <c r="O218" s="49" t="s">
        <v>261</v>
      </c>
      <c r="P218" s="49" t="s">
        <v>261</v>
      </c>
      <c r="Q218" s="49">
        <v>253.33</v>
      </c>
      <c r="R218" s="49">
        <v>253.33</v>
      </c>
      <c r="S218" s="49" t="s">
        <v>261</v>
      </c>
      <c r="T218" s="49" t="s">
        <v>261</v>
      </c>
      <c r="U218" s="49">
        <v>9626</v>
      </c>
      <c r="V218" s="49">
        <v>9626</v>
      </c>
      <c r="W218" s="49"/>
      <c r="X218" s="49"/>
    </row>
    <row r="219" spans="1:24" ht="15" customHeight="1" x14ac:dyDescent="0.25">
      <c r="A219" s="3" t="s">
        <v>17</v>
      </c>
      <c r="B219" s="1" t="s">
        <v>39</v>
      </c>
      <c r="C219" s="1" t="s">
        <v>40</v>
      </c>
      <c r="D219" s="1" t="s">
        <v>41</v>
      </c>
      <c r="E219" s="1" t="s">
        <v>42</v>
      </c>
      <c r="F219" s="49" t="s">
        <v>202</v>
      </c>
      <c r="G219" s="49">
        <v>3200</v>
      </c>
      <c r="H219" s="49">
        <v>3200</v>
      </c>
      <c r="I219" s="49">
        <v>250</v>
      </c>
      <c r="J219" s="49">
        <v>250</v>
      </c>
      <c r="K219" s="49">
        <v>1216</v>
      </c>
      <c r="L219" s="49">
        <v>1216</v>
      </c>
      <c r="M219" s="49">
        <v>3200</v>
      </c>
      <c r="N219" s="49">
        <v>3200</v>
      </c>
      <c r="O219" s="49" t="s">
        <v>261</v>
      </c>
      <c r="P219" s="49" t="s">
        <v>261</v>
      </c>
      <c r="Q219" s="49" t="s">
        <v>261</v>
      </c>
      <c r="R219" s="49" t="s">
        <v>261</v>
      </c>
      <c r="S219" s="49" t="s">
        <v>261</v>
      </c>
      <c r="T219" s="49" t="s">
        <v>261</v>
      </c>
      <c r="U219" s="49">
        <v>7400</v>
      </c>
      <c r="V219" s="49">
        <v>7400</v>
      </c>
      <c r="W219" s="49"/>
      <c r="X219" s="49"/>
    </row>
    <row r="220" spans="1:24" ht="15" customHeight="1" x14ac:dyDescent="0.25">
      <c r="A220" s="3" t="s">
        <v>17</v>
      </c>
      <c r="B220" s="1" t="s">
        <v>43</v>
      </c>
      <c r="C220" s="1" t="s">
        <v>44</v>
      </c>
      <c r="D220" s="1" t="s">
        <v>45</v>
      </c>
      <c r="E220" s="1" t="s">
        <v>46</v>
      </c>
      <c r="F220" s="49" t="s">
        <v>202</v>
      </c>
      <c r="G220" s="49">
        <v>2800</v>
      </c>
      <c r="H220" s="49">
        <v>2800</v>
      </c>
      <c r="I220" s="49">
        <v>363</v>
      </c>
      <c r="J220" s="49">
        <v>363</v>
      </c>
      <c r="K220" s="49">
        <v>262.17</v>
      </c>
      <c r="L220" s="49">
        <v>262.17</v>
      </c>
      <c r="M220" s="49">
        <v>2913</v>
      </c>
      <c r="N220" s="49">
        <v>2913</v>
      </c>
      <c r="O220" s="49" t="s">
        <v>261</v>
      </c>
      <c r="P220" s="49" t="s">
        <v>261</v>
      </c>
      <c r="Q220" s="49" t="s">
        <v>261</v>
      </c>
      <c r="R220" s="49" t="s">
        <v>261</v>
      </c>
      <c r="S220" s="49" t="s">
        <v>261</v>
      </c>
      <c r="T220" s="49" t="s">
        <v>261</v>
      </c>
      <c r="U220" s="49">
        <v>5826</v>
      </c>
      <c r="V220" s="49">
        <v>5826</v>
      </c>
      <c r="W220" s="49"/>
      <c r="X220" s="49"/>
    </row>
    <row r="221" spans="1:24" ht="15" customHeight="1" x14ac:dyDescent="0.25">
      <c r="A221" s="3" t="s">
        <v>17</v>
      </c>
      <c r="B221" s="1" t="s">
        <v>72</v>
      </c>
      <c r="C221" s="1" t="s">
        <v>28</v>
      </c>
      <c r="D221" s="1" t="s">
        <v>73</v>
      </c>
      <c r="E221" s="1" t="s">
        <v>74</v>
      </c>
      <c r="F221" s="49" t="s">
        <v>202</v>
      </c>
      <c r="G221" s="49">
        <v>2500</v>
      </c>
      <c r="H221" s="49">
        <v>2500</v>
      </c>
      <c r="I221" s="49">
        <v>250</v>
      </c>
      <c r="J221" s="49">
        <v>250</v>
      </c>
      <c r="K221" s="49">
        <v>1668.75</v>
      </c>
      <c r="L221" s="49">
        <v>1668.75</v>
      </c>
      <c r="M221" s="49">
        <v>2500</v>
      </c>
      <c r="N221" s="49">
        <v>2500</v>
      </c>
      <c r="O221" s="49">
        <v>29</v>
      </c>
      <c r="P221" s="49">
        <v>29</v>
      </c>
      <c r="Q221" s="49" t="s">
        <v>261</v>
      </c>
      <c r="R221" s="49" t="s">
        <v>261</v>
      </c>
      <c r="S221" s="49" t="s">
        <v>261</v>
      </c>
      <c r="T221" s="49" t="s">
        <v>261</v>
      </c>
      <c r="U221" s="49">
        <v>6529</v>
      </c>
      <c r="V221" s="49">
        <v>6529</v>
      </c>
      <c r="W221" s="49"/>
      <c r="X221" s="49"/>
    </row>
    <row r="222" spans="1:24" ht="15" customHeight="1" x14ac:dyDescent="0.25">
      <c r="A222" s="3" t="s">
        <v>17</v>
      </c>
      <c r="B222" s="1" t="s">
        <v>51</v>
      </c>
      <c r="C222" s="1" t="s">
        <v>52</v>
      </c>
      <c r="D222" s="1" t="s">
        <v>53</v>
      </c>
      <c r="E222" s="1" t="s">
        <v>54</v>
      </c>
      <c r="F222" s="49" t="s">
        <v>202</v>
      </c>
      <c r="G222" s="49">
        <v>2700</v>
      </c>
      <c r="H222" s="49">
        <v>2700</v>
      </c>
      <c r="I222" s="49">
        <v>250</v>
      </c>
      <c r="J222" s="49">
        <v>250</v>
      </c>
      <c r="K222" s="49">
        <v>182.25</v>
      </c>
      <c r="L222" s="49">
        <v>182.25</v>
      </c>
      <c r="M222" s="49">
        <v>2700</v>
      </c>
      <c r="N222" s="49">
        <v>2700</v>
      </c>
      <c r="O222" s="49" t="s">
        <v>261</v>
      </c>
      <c r="P222" s="49" t="s">
        <v>261</v>
      </c>
      <c r="Q222" s="49" t="s">
        <v>261</v>
      </c>
      <c r="R222" s="49" t="s">
        <v>261</v>
      </c>
      <c r="S222" s="49" t="s">
        <v>261</v>
      </c>
      <c r="T222" s="49" t="s">
        <v>261</v>
      </c>
      <c r="U222" s="49">
        <v>5400</v>
      </c>
      <c r="V222" s="49">
        <v>5400</v>
      </c>
      <c r="W222" s="49"/>
      <c r="X222" s="49"/>
    </row>
    <row r="223" spans="1:24" ht="15" customHeight="1" x14ac:dyDescent="0.25">
      <c r="A223" s="3" t="s">
        <v>17</v>
      </c>
      <c r="B223" s="1" t="s">
        <v>65</v>
      </c>
      <c r="C223" s="1" t="s">
        <v>66</v>
      </c>
      <c r="D223" s="1" t="s">
        <v>67</v>
      </c>
      <c r="E223" s="1" t="s">
        <v>38</v>
      </c>
      <c r="F223" s="49" t="s">
        <v>202</v>
      </c>
      <c r="G223" s="49">
        <v>3007.53</v>
      </c>
      <c r="H223" s="49">
        <v>3007.53</v>
      </c>
      <c r="I223" s="49">
        <v>355.47</v>
      </c>
      <c r="J223" s="49">
        <v>355.47</v>
      </c>
      <c r="K223" s="49">
        <v>2780.17</v>
      </c>
      <c r="L223" s="49">
        <v>2780.17</v>
      </c>
      <c r="M223" s="49">
        <v>3113</v>
      </c>
      <c r="N223" s="49">
        <v>3113</v>
      </c>
      <c r="O223" s="49" t="s">
        <v>261</v>
      </c>
      <c r="P223" s="49" t="s">
        <v>261</v>
      </c>
      <c r="Q223" s="49">
        <v>23.09</v>
      </c>
      <c r="R223" s="49">
        <v>23.09</v>
      </c>
      <c r="S223" s="49" t="s">
        <v>261</v>
      </c>
      <c r="T223" s="49" t="s">
        <v>261</v>
      </c>
      <c r="U223" s="49">
        <v>8726</v>
      </c>
      <c r="V223" s="49">
        <v>8726</v>
      </c>
      <c r="W223" s="49"/>
      <c r="X223" s="49"/>
    </row>
    <row r="224" spans="1:24" ht="15" customHeight="1" x14ac:dyDescent="0.25">
      <c r="A224" s="3" t="s">
        <v>17</v>
      </c>
      <c r="B224" s="1" t="s">
        <v>61</v>
      </c>
      <c r="C224" s="1" t="s">
        <v>62</v>
      </c>
      <c r="D224" s="1" t="s">
        <v>63</v>
      </c>
      <c r="E224" s="1" t="s">
        <v>64</v>
      </c>
      <c r="F224" s="49" t="s">
        <v>202</v>
      </c>
      <c r="G224" s="49">
        <v>3200</v>
      </c>
      <c r="H224" s="49">
        <v>3200</v>
      </c>
      <c r="I224" s="49">
        <v>250</v>
      </c>
      <c r="J224" s="49">
        <v>250</v>
      </c>
      <c r="K224" s="49">
        <v>216</v>
      </c>
      <c r="L224" s="49">
        <v>216</v>
      </c>
      <c r="M224" s="49">
        <v>3200</v>
      </c>
      <c r="N224" s="49">
        <v>3200</v>
      </c>
      <c r="O224" s="49" t="s">
        <v>261</v>
      </c>
      <c r="P224" s="49" t="s">
        <v>261</v>
      </c>
      <c r="Q224" s="49" t="s">
        <v>261</v>
      </c>
      <c r="R224" s="49" t="s">
        <v>261</v>
      </c>
      <c r="S224" s="49" t="s">
        <v>261</v>
      </c>
      <c r="T224" s="49" t="s">
        <v>261</v>
      </c>
      <c r="U224" s="49">
        <v>6400</v>
      </c>
      <c r="V224" s="49">
        <v>6400</v>
      </c>
      <c r="W224" s="49"/>
      <c r="X224" s="49"/>
    </row>
    <row r="225" spans="1:24" ht="15" customHeight="1" x14ac:dyDescent="0.25">
      <c r="A225" s="3" t="s">
        <v>17</v>
      </c>
      <c r="B225" s="1" t="s">
        <v>68</v>
      </c>
      <c r="C225" s="1" t="s">
        <v>69</v>
      </c>
      <c r="D225" s="1" t="s">
        <v>70</v>
      </c>
      <c r="E225" s="1" t="s">
        <v>71</v>
      </c>
      <c r="F225" s="49" t="s">
        <v>268</v>
      </c>
      <c r="G225" s="49">
        <v>1493.06</v>
      </c>
      <c r="H225" s="49">
        <v>1493.06</v>
      </c>
      <c r="I225" s="49">
        <v>0</v>
      </c>
      <c r="J225" s="49" t="s">
        <v>261</v>
      </c>
      <c r="K225" s="49">
        <v>140.62</v>
      </c>
      <c r="L225" s="49">
        <v>140.62</v>
      </c>
      <c r="M225" s="49">
        <v>2083.33</v>
      </c>
      <c r="N225" s="49">
        <v>2083.33</v>
      </c>
      <c r="O225" s="49">
        <v>501.43</v>
      </c>
      <c r="P225" s="49">
        <v>501.43</v>
      </c>
      <c r="Q225" s="49" t="s">
        <v>261</v>
      </c>
      <c r="R225" s="49" t="s">
        <v>261</v>
      </c>
      <c r="S225" s="49" t="s">
        <v>261</v>
      </c>
      <c r="T225" s="49" t="s">
        <v>261</v>
      </c>
      <c r="U225" s="49">
        <v>3576.39</v>
      </c>
      <c r="V225" s="49">
        <v>3576.39</v>
      </c>
      <c r="W225" s="49"/>
      <c r="X225" s="49"/>
    </row>
    <row r="226" spans="1:24" ht="15" customHeight="1" x14ac:dyDescent="0.25">
      <c r="G226" s="89">
        <f t="shared" ref="G226:V226" si="11">SUM(G211:G225)</f>
        <v>65073.63</v>
      </c>
      <c r="H226" s="89">
        <f t="shared" si="11"/>
        <v>65073.63</v>
      </c>
      <c r="I226" s="89">
        <f t="shared" si="11"/>
        <v>4144.1000000000004</v>
      </c>
      <c r="J226" s="89">
        <f t="shared" si="11"/>
        <v>4144.1000000000004</v>
      </c>
      <c r="K226" s="89">
        <f t="shared" si="11"/>
        <v>18895.39</v>
      </c>
      <c r="L226" s="89">
        <f t="shared" si="11"/>
        <v>18895.39</v>
      </c>
      <c r="M226" s="89">
        <f t="shared" si="11"/>
        <v>66561.33</v>
      </c>
      <c r="N226" s="89">
        <f t="shared" si="11"/>
        <v>66561.33</v>
      </c>
      <c r="O226" s="89">
        <f t="shared" si="11"/>
        <v>530.43000000000006</v>
      </c>
      <c r="P226" s="89">
        <f t="shared" si="11"/>
        <v>530.43000000000006</v>
      </c>
      <c r="Q226" s="89">
        <f t="shared" si="11"/>
        <v>349.78</v>
      </c>
      <c r="R226" s="89">
        <f t="shared" si="11"/>
        <v>349.78</v>
      </c>
      <c r="S226" s="89">
        <f t="shared" si="11"/>
        <v>0</v>
      </c>
      <c r="T226" s="89">
        <f t="shared" si="11"/>
        <v>0</v>
      </c>
      <c r="U226" s="89">
        <f t="shared" si="11"/>
        <v>146361.39000000001</v>
      </c>
      <c r="V226" s="89">
        <f t="shared" si="11"/>
        <v>146361.39000000001</v>
      </c>
      <c r="W226" s="49"/>
      <c r="X226" s="49"/>
    </row>
  </sheetData>
  <mergeCells count="20">
    <mergeCell ref="A11:F11"/>
    <mergeCell ref="G11:T11"/>
    <mergeCell ref="U11:V12"/>
    <mergeCell ref="A12:B12"/>
    <mergeCell ref="C12:C13"/>
    <mergeCell ref="M12:N12"/>
    <mergeCell ref="O12:P12"/>
    <mergeCell ref="Q12:R12"/>
    <mergeCell ref="S12:T12"/>
    <mergeCell ref="D12:D13"/>
    <mergeCell ref="E12:E13"/>
    <mergeCell ref="F12:F13"/>
    <mergeCell ref="G12:H12"/>
    <mergeCell ref="I12:J12"/>
    <mergeCell ref="K12:L12"/>
    <mergeCell ref="A2:E2"/>
    <mergeCell ref="A6:V6"/>
    <mergeCell ref="A7:V7"/>
    <mergeCell ref="A8:V8"/>
    <mergeCell ref="A9:V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6AB4-971E-4F1B-8A8E-EB21DDD98856}">
  <dimension ref="A2:O26"/>
  <sheetViews>
    <sheetView topLeftCell="A3" workbookViewId="0">
      <selection activeCell="B24" sqref="B24"/>
    </sheetView>
  </sheetViews>
  <sheetFormatPr baseColWidth="10" defaultRowHeight="14.4" x14ac:dyDescent="0.3"/>
  <cols>
    <col min="1" max="1" width="26.44140625" customWidth="1"/>
  </cols>
  <sheetData>
    <row r="2" spans="1:15" x14ac:dyDescent="0.3">
      <c r="B2" s="76" t="s">
        <v>51</v>
      </c>
      <c r="C2" s="76" t="s">
        <v>61</v>
      </c>
      <c r="D2" s="77" t="s">
        <v>47</v>
      </c>
      <c r="E2" s="77" t="s">
        <v>58</v>
      </c>
      <c r="F2" s="78" t="s">
        <v>27</v>
      </c>
      <c r="G2" s="76" t="s">
        <v>72</v>
      </c>
      <c r="H2" s="76" t="s">
        <v>24</v>
      </c>
      <c r="I2" s="76" t="s">
        <v>33</v>
      </c>
      <c r="J2" s="78" t="s">
        <v>18</v>
      </c>
      <c r="K2" s="76" t="s">
        <v>35</v>
      </c>
      <c r="L2" s="76" t="s">
        <v>43</v>
      </c>
      <c r="M2" s="77" t="s">
        <v>55</v>
      </c>
      <c r="N2" s="76" t="s">
        <v>65</v>
      </c>
      <c r="O2" s="77" t="s">
        <v>39</v>
      </c>
    </row>
    <row r="3" spans="1:15" ht="72" x14ac:dyDescent="0.3">
      <c r="B3" s="79" t="s">
        <v>77</v>
      </c>
      <c r="C3" s="79" t="s">
        <v>78</v>
      </c>
      <c r="D3" s="79" t="s">
        <v>79</v>
      </c>
      <c r="E3" s="79" t="s">
        <v>80</v>
      </c>
      <c r="F3" s="79" t="s">
        <v>81</v>
      </c>
      <c r="G3" s="79" t="s">
        <v>82</v>
      </c>
      <c r="H3" s="79" t="s">
        <v>83</v>
      </c>
      <c r="I3" s="79" t="s">
        <v>84</v>
      </c>
      <c r="J3" s="79" t="s">
        <v>85</v>
      </c>
      <c r="K3" s="79" t="s">
        <v>86</v>
      </c>
      <c r="L3" s="79" t="s">
        <v>87</v>
      </c>
      <c r="M3" s="79" t="s">
        <v>88</v>
      </c>
      <c r="N3" s="79" t="s">
        <v>89</v>
      </c>
      <c r="O3" s="79" t="s">
        <v>90</v>
      </c>
    </row>
    <row r="4" spans="1:15" x14ac:dyDescent="0.3">
      <c r="A4" s="80" t="s">
        <v>235</v>
      </c>
      <c r="B4" s="81">
        <v>42405</v>
      </c>
      <c r="C4" s="81">
        <v>45232</v>
      </c>
      <c r="D4" s="81">
        <v>56540</v>
      </c>
      <c r="E4" s="81">
        <v>58322.34</v>
      </c>
      <c r="F4" s="81">
        <v>55486.34</v>
      </c>
      <c r="G4" s="81">
        <v>38164.5</v>
      </c>
      <c r="H4" s="81">
        <v>212025</v>
      </c>
      <c r="I4" s="81">
        <v>143402.34</v>
      </c>
      <c r="J4" s="81">
        <v>53713</v>
      </c>
      <c r="K4" s="81">
        <v>39888.339999999997</v>
      </c>
      <c r="L4" s="81">
        <v>41306.339999999997</v>
      </c>
      <c r="M4" s="81">
        <v>49472.5</v>
      </c>
      <c r="N4" s="81">
        <v>44142.34</v>
      </c>
      <c r="O4" s="81">
        <v>45232</v>
      </c>
    </row>
    <row r="5" spans="1:15" x14ac:dyDescent="0.3">
      <c r="A5" s="80" t="s">
        <v>270</v>
      </c>
      <c r="B5" s="81">
        <f>VLOOKUP(B2,UTILIDADES!$B$6:$L$20,11,0)</f>
        <v>2787.95</v>
      </c>
      <c r="C5" s="81">
        <f>VLOOKUP(C2,UTILIDADES!$B$6:$L$20,11,0)</f>
        <v>2905.25</v>
      </c>
      <c r="D5" s="81">
        <f>VLOOKUP(D2,UTILIDADES!$B$6:$L$20,11,0)</f>
        <v>3169.75</v>
      </c>
      <c r="E5" s="81">
        <f>VLOOKUP(E2,UTILIDADES!$B$6:$L$20,11,0)</f>
        <v>3261.91</v>
      </c>
      <c r="F5" s="81">
        <f>VLOOKUP(F2,UTILIDADES!$B$6:$L$20,11,0)</f>
        <v>3148.75</v>
      </c>
      <c r="G5" s="81">
        <f>VLOOKUP(G2,UTILIDADES!$B$6:$L$20,11,0)</f>
        <v>2675.74</v>
      </c>
      <c r="H5" s="81">
        <f>VLOOKUP(H2,UTILIDADES!$B$6:$L$20,11,0)</f>
        <v>7258.78</v>
      </c>
      <c r="I5" s="81">
        <f>VLOOKUP(I2,UTILIDADES!$B$6:$L$20,11,0)</f>
        <v>5445.67</v>
      </c>
      <c r="J5" s="81">
        <f>VLOOKUP(J2,UTILIDADES!$B$6:$L$20,11,0)</f>
        <v>3103.5</v>
      </c>
      <c r="K5" s="81">
        <f>VLOOKUP(K2,UTILIDADES!$B$6:$L$20,11,0)</f>
        <v>2747.49</v>
      </c>
      <c r="L5" s="81">
        <f>VLOOKUP(L2,UTILIDADES!$B$6:$L$20,11,0)</f>
        <v>2759.63</v>
      </c>
      <c r="M5" s="81">
        <f>VLOOKUP(M2,UTILIDADES!$B$6:$L$20,11,0)</f>
        <v>3006.99</v>
      </c>
      <c r="N5" s="81">
        <f>VLOOKUP(N2,UTILIDADES!$B$6:$L$20,11,0)</f>
        <v>2885.29</v>
      </c>
      <c r="O5" s="81">
        <f>VLOOKUP(O2,UTILIDADES!$B$6:$L$20,11,0)</f>
        <v>2803.86</v>
      </c>
    </row>
    <row r="6" spans="1:15" x14ac:dyDescent="0.3">
      <c r="A6" s="80" t="s">
        <v>269</v>
      </c>
      <c r="B6" s="81">
        <f>+B4+B5</f>
        <v>45192.95</v>
      </c>
      <c r="C6" s="81">
        <f t="shared" ref="C6:O6" si="0">+C4+C5</f>
        <v>48137.25</v>
      </c>
      <c r="D6" s="81">
        <f t="shared" si="0"/>
        <v>59709.75</v>
      </c>
      <c r="E6" s="81">
        <f t="shared" si="0"/>
        <v>61584.25</v>
      </c>
      <c r="F6" s="81">
        <f t="shared" si="0"/>
        <v>58635.09</v>
      </c>
      <c r="G6" s="81">
        <f t="shared" si="0"/>
        <v>40840.239999999998</v>
      </c>
      <c r="H6" s="81">
        <f t="shared" si="0"/>
        <v>219283.78</v>
      </c>
      <c r="I6" s="81">
        <f t="shared" si="0"/>
        <v>148848.01</v>
      </c>
      <c r="J6" s="81">
        <f t="shared" si="0"/>
        <v>56816.5</v>
      </c>
      <c r="K6" s="81">
        <f t="shared" si="0"/>
        <v>42635.829999999994</v>
      </c>
      <c r="L6" s="81">
        <f t="shared" si="0"/>
        <v>44065.969999999994</v>
      </c>
      <c r="M6" s="81">
        <f t="shared" si="0"/>
        <v>52479.49</v>
      </c>
      <c r="N6" s="81">
        <f t="shared" si="0"/>
        <v>47027.63</v>
      </c>
      <c r="O6" s="81">
        <f t="shared" si="0"/>
        <v>48035.86</v>
      </c>
    </row>
    <row r="7" spans="1:15" x14ac:dyDescent="0.3">
      <c r="A7" s="80" t="s">
        <v>236</v>
      </c>
      <c r="B7" s="81">
        <f>7*5500</f>
        <v>38500</v>
      </c>
      <c r="C7" s="81">
        <f t="shared" ref="C7:O7" si="1">7*5500</f>
        <v>38500</v>
      </c>
      <c r="D7" s="81">
        <f t="shared" si="1"/>
        <v>38500</v>
      </c>
      <c r="E7" s="81">
        <f t="shared" si="1"/>
        <v>38500</v>
      </c>
      <c r="F7" s="81">
        <f t="shared" si="1"/>
        <v>38500</v>
      </c>
      <c r="G7" s="81">
        <f t="shared" si="1"/>
        <v>38500</v>
      </c>
      <c r="H7" s="81">
        <f t="shared" si="1"/>
        <v>38500</v>
      </c>
      <c r="I7" s="81">
        <f t="shared" si="1"/>
        <v>38500</v>
      </c>
      <c r="J7" s="81">
        <f t="shared" si="1"/>
        <v>38500</v>
      </c>
      <c r="K7" s="81">
        <f t="shared" si="1"/>
        <v>38500</v>
      </c>
      <c r="L7" s="81">
        <f t="shared" si="1"/>
        <v>38500</v>
      </c>
      <c r="M7" s="81">
        <f t="shared" si="1"/>
        <v>38500</v>
      </c>
      <c r="N7" s="81">
        <f t="shared" si="1"/>
        <v>38500</v>
      </c>
      <c r="O7" s="81">
        <f t="shared" si="1"/>
        <v>38500</v>
      </c>
    </row>
    <row r="8" spans="1:15" x14ac:dyDescent="0.3">
      <c r="A8" s="82" t="s">
        <v>237</v>
      </c>
      <c r="B8" s="83">
        <f>IF(B6&gt;B7,B4-B7,0)</f>
        <v>3905</v>
      </c>
      <c r="C8" s="83">
        <f t="shared" ref="C8:O8" si="2">IF(C6&gt;C7,C4-C7,0)</f>
        <v>6732</v>
      </c>
      <c r="D8" s="83">
        <f t="shared" si="2"/>
        <v>18040</v>
      </c>
      <c r="E8" s="83">
        <f t="shared" si="2"/>
        <v>19822.339999999997</v>
      </c>
      <c r="F8" s="83">
        <f t="shared" si="2"/>
        <v>16986.339999999997</v>
      </c>
      <c r="G8" s="83">
        <f t="shared" si="2"/>
        <v>-335.5</v>
      </c>
      <c r="H8" s="83">
        <f t="shared" si="2"/>
        <v>173525</v>
      </c>
      <c r="I8" s="83">
        <f t="shared" si="2"/>
        <v>104902.34</v>
      </c>
      <c r="J8" s="83">
        <f t="shared" si="2"/>
        <v>15213</v>
      </c>
      <c r="K8" s="83">
        <f t="shared" si="2"/>
        <v>1388.3399999999965</v>
      </c>
      <c r="L8" s="83">
        <f t="shared" si="2"/>
        <v>2806.3399999999965</v>
      </c>
      <c r="M8" s="83">
        <f t="shared" si="2"/>
        <v>10972.5</v>
      </c>
      <c r="N8" s="83">
        <f t="shared" si="2"/>
        <v>5642.3399999999965</v>
      </c>
      <c r="O8" s="83">
        <f t="shared" si="2"/>
        <v>6732</v>
      </c>
    </row>
    <row r="9" spans="1:15" x14ac:dyDescent="0.3">
      <c r="A9" s="80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</row>
    <row r="10" spans="1:15" x14ac:dyDescent="0.3">
      <c r="A10" s="84" t="s">
        <v>238</v>
      </c>
      <c r="B10" s="85">
        <f>IF(B8&gt;27500,(27500*8%),B8*8%)</f>
        <v>312.40000000000003</v>
      </c>
      <c r="C10" s="85">
        <f t="shared" ref="C10:O10" si="3">IF(C8&gt;27500,(27500*8%),C8*8%)</f>
        <v>538.56000000000006</v>
      </c>
      <c r="D10" s="85">
        <f t="shared" si="3"/>
        <v>1443.2</v>
      </c>
      <c r="E10" s="85">
        <f t="shared" si="3"/>
        <v>1585.7871999999998</v>
      </c>
      <c r="F10" s="85">
        <f t="shared" si="3"/>
        <v>1358.9071999999996</v>
      </c>
      <c r="G10" s="85">
        <f t="shared" si="3"/>
        <v>-26.84</v>
      </c>
      <c r="H10" s="85">
        <f t="shared" si="3"/>
        <v>2200</v>
      </c>
      <c r="I10" s="85">
        <f t="shared" si="3"/>
        <v>2200</v>
      </c>
      <c r="J10" s="85">
        <f t="shared" si="3"/>
        <v>1217.04</v>
      </c>
      <c r="K10" s="85">
        <f t="shared" si="3"/>
        <v>111.06719999999973</v>
      </c>
      <c r="L10" s="85">
        <f t="shared" si="3"/>
        <v>224.50719999999973</v>
      </c>
      <c r="M10" s="85">
        <f t="shared" si="3"/>
        <v>877.80000000000007</v>
      </c>
      <c r="N10" s="85">
        <f t="shared" si="3"/>
        <v>451.38719999999972</v>
      </c>
      <c r="O10" s="85">
        <f t="shared" si="3"/>
        <v>538.56000000000006</v>
      </c>
    </row>
    <row r="11" spans="1:15" hidden="1" x14ac:dyDescent="0.3">
      <c r="A11" s="86" t="s">
        <v>239</v>
      </c>
      <c r="B11" s="85">
        <f>IF(B8&gt;27500,B8-27500,0)</f>
        <v>0</v>
      </c>
      <c r="C11" s="85">
        <f t="shared" ref="C11:O11" si="4">IF(C8&gt;27500,C8-27500,0)</f>
        <v>0</v>
      </c>
      <c r="D11" s="85">
        <f t="shared" si="4"/>
        <v>0</v>
      </c>
      <c r="E11" s="85">
        <f t="shared" si="4"/>
        <v>0</v>
      </c>
      <c r="F11" s="85">
        <f t="shared" si="4"/>
        <v>0</v>
      </c>
      <c r="G11" s="85">
        <f t="shared" si="4"/>
        <v>0</v>
      </c>
      <c r="H11" s="85">
        <f t="shared" si="4"/>
        <v>146025</v>
      </c>
      <c r="I11" s="85">
        <f t="shared" si="4"/>
        <v>77402.34</v>
      </c>
      <c r="J11" s="85">
        <f t="shared" si="4"/>
        <v>0</v>
      </c>
      <c r="K11" s="85">
        <f t="shared" si="4"/>
        <v>0</v>
      </c>
      <c r="L11" s="85">
        <f t="shared" si="4"/>
        <v>0</v>
      </c>
      <c r="M11" s="85">
        <f t="shared" si="4"/>
        <v>0</v>
      </c>
      <c r="N11" s="85">
        <f t="shared" si="4"/>
        <v>0</v>
      </c>
      <c r="O11" s="85">
        <f t="shared" si="4"/>
        <v>0</v>
      </c>
    </row>
    <row r="12" spans="1:15" x14ac:dyDescent="0.3">
      <c r="A12" s="84" t="s">
        <v>240</v>
      </c>
      <c r="B12" s="85">
        <f>IF(B11&gt;82500,(82500*14%),B11*14%)</f>
        <v>0</v>
      </c>
      <c r="C12" s="85">
        <f t="shared" ref="C12:O12" si="5">IF(C11&gt;82500,(82500*14%),C11*14%)</f>
        <v>0</v>
      </c>
      <c r="D12" s="85">
        <f t="shared" si="5"/>
        <v>0</v>
      </c>
      <c r="E12" s="85">
        <f t="shared" si="5"/>
        <v>0</v>
      </c>
      <c r="F12" s="85">
        <f t="shared" si="5"/>
        <v>0</v>
      </c>
      <c r="G12" s="85">
        <f t="shared" si="5"/>
        <v>0</v>
      </c>
      <c r="H12" s="85">
        <f t="shared" si="5"/>
        <v>11550.000000000002</v>
      </c>
      <c r="I12" s="85">
        <f t="shared" si="5"/>
        <v>10836.327600000001</v>
      </c>
      <c r="J12" s="85">
        <f t="shared" si="5"/>
        <v>0</v>
      </c>
      <c r="K12" s="85">
        <f t="shared" si="5"/>
        <v>0</v>
      </c>
      <c r="L12" s="85">
        <f t="shared" si="5"/>
        <v>0</v>
      </c>
      <c r="M12" s="85">
        <f t="shared" si="5"/>
        <v>0</v>
      </c>
      <c r="N12" s="85">
        <f t="shared" si="5"/>
        <v>0</v>
      </c>
      <c r="O12" s="85">
        <f t="shared" si="5"/>
        <v>0</v>
      </c>
    </row>
    <row r="13" spans="1:15" hidden="1" x14ac:dyDescent="0.3">
      <c r="A13" s="86" t="s">
        <v>241</v>
      </c>
      <c r="B13" s="85">
        <f>IF(B11&gt;82500,B11-82500,0)</f>
        <v>0</v>
      </c>
      <c r="C13" s="85">
        <f t="shared" ref="C13:O13" si="6">IF(C11&gt;82500,C11-82500,0)</f>
        <v>0</v>
      </c>
      <c r="D13" s="85">
        <f t="shared" si="6"/>
        <v>0</v>
      </c>
      <c r="E13" s="85">
        <f t="shared" si="6"/>
        <v>0</v>
      </c>
      <c r="F13" s="85">
        <f t="shared" si="6"/>
        <v>0</v>
      </c>
      <c r="G13" s="85">
        <f t="shared" si="6"/>
        <v>0</v>
      </c>
      <c r="H13" s="85">
        <f t="shared" si="6"/>
        <v>63525</v>
      </c>
      <c r="I13" s="85">
        <f t="shared" si="6"/>
        <v>0</v>
      </c>
      <c r="J13" s="85">
        <f t="shared" si="6"/>
        <v>0</v>
      </c>
      <c r="K13" s="85">
        <f t="shared" si="6"/>
        <v>0</v>
      </c>
      <c r="L13" s="85">
        <f t="shared" si="6"/>
        <v>0</v>
      </c>
      <c r="M13" s="85">
        <f t="shared" si="6"/>
        <v>0</v>
      </c>
      <c r="N13" s="85">
        <f t="shared" si="6"/>
        <v>0</v>
      </c>
      <c r="O13" s="85">
        <f t="shared" si="6"/>
        <v>0</v>
      </c>
    </row>
    <row r="14" spans="1:15" x14ac:dyDescent="0.3">
      <c r="A14" s="84" t="s">
        <v>242</v>
      </c>
      <c r="B14" s="85">
        <f>IF(B13&gt;82500,(82500*17%),B13*17%)</f>
        <v>0</v>
      </c>
      <c r="C14" s="85">
        <f t="shared" ref="C14:O14" si="7">IF(C13&gt;82500,(82500*17%),C13*17%)</f>
        <v>0</v>
      </c>
      <c r="D14" s="85">
        <f t="shared" si="7"/>
        <v>0</v>
      </c>
      <c r="E14" s="85">
        <f t="shared" si="7"/>
        <v>0</v>
      </c>
      <c r="F14" s="85">
        <f t="shared" si="7"/>
        <v>0</v>
      </c>
      <c r="G14" s="85">
        <f t="shared" si="7"/>
        <v>0</v>
      </c>
      <c r="H14" s="85">
        <f t="shared" si="7"/>
        <v>10799.25</v>
      </c>
      <c r="I14" s="85">
        <f t="shared" si="7"/>
        <v>0</v>
      </c>
      <c r="J14" s="85">
        <f t="shared" si="7"/>
        <v>0</v>
      </c>
      <c r="K14" s="85">
        <f t="shared" si="7"/>
        <v>0</v>
      </c>
      <c r="L14" s="85">
        <f t="shared" si="7"/>
        <v>0</v>
      </c>
      <c r="M14" s="85">
        <f t="shared" si="7"/>
        <v>0</v>
      </c>
      <c r="N14" s="85">
        <f t="shared" si="7"/>
        <v>0</v>
      </c>
      <c r="O14" s="85">
        <f t="shared" si="7"/>
        <v>0</v>
      </c>
    </row>
    <row r="15" spans="1:15" hidden="1" x14ac:dyDescent="0.3">
      <c r="A15" s="86" t="s">
        <v>243</v>
      </c>
      <c r="B15" s="85">
        <f>IF(B13&gt;82500,B13-82500,0)</f>
        <v>0</v>
      </c>
      <c r="C15" s="85">
        <f t="shared" ref="C15:O15" si="8">IF(C13&gt;82500,C13-82500,0)</f>
        <v>0</v>
      </c>
      <c r="D15" s="85">
        <f t="shared" si="8"/>
        <v>0</v>
      </c>
      <c r="E15" s="85">
        <f t="shared" si="8"/>
        <v>0</v>
      </c>
      <c r="F15" s="85">
        <f t="shared" si="8"/>
        <v>0</v>
      </c>
      <c r="G15" s="85">
        <f t="shared" si="8"/>
        <v>0</v>
      </c>
      <c r="H15" s="85">
        <f t="shared" si="8"/>
        <v>0</v>
      </c>
      <c r="I15" s="85">
        <f t="shared" si="8"/>
        <v>0</v>
      </c>
      <c r="J15" s="85">
        <f t="shared" si="8"/>
        <v>0</v>
      </c>
      <c r="K15" s="85">
        <f t="shared" si="8"/>
        <v>0</v>
      </c>
      <c r="L15" s="85">
        <f t="shared" si="8"/>
        <v>0</v>
      </c>
      <c r="M15" s="85">
        <f t="shared" si="8"/>
        <v>0</v>
      </c>
      <c r="N15" s="85">
        <f t="shared" si="8"/>
        <v>0</v>
      </c>
      <c r="O15" s="85">
        <f t="shared" si="8"/>
        <v>0</v>
      </c>
    </row>
    <row r="16" spans="1:15" x14ac:dyDescent="0.3">
      <c r="A16" s="84" t="s">
        <v>244</v>
      </c>
      <c r="B16" s="85">
        <f>IF(B15&gt;55000,(55000*20%),B15*20%)</f>
        <v>0</v>
      </c>
      <c r="C16" s="85">
        <f t="shared" ref="C16:O16" si="9">IF(C15&gt;55000,(55000*20%),C15*20%)</f>
        <v>0</v>
      </c>
      <c r="D16" s="85">
        <f t="shared" si="9"/>
        <v>0</v>
      </c>
      <c r="E16" s="85">
        <f t="shared" si="9"/>
        <v>0</v>
      </c>
      <c r="F16" s="85">
        <f t="shared" si="9"/>
        <v>0</v>
      </c>
      <c r="G16" s="85">
        <f t="shared" si="9"/>
        <v>0</v>
      </c>
      <c r="H16" s="85">
        <f t="shared" si="9"/>
        <v>0</v>
      </c>
      <c r="I16" s="85">
        <f t="shared" si="9"/>
        <v>0</v>
      </c>
      <c r="J16" s="85">
        <f t="shared" si="9"/>
        <v>0</v>
      </c>
      <c r="K16" s="85">
        <f t="shared" si="9"/>
        <v>0</v>
      </c>
      <c r="L16" s="85">
        <f t="shared" si="9"/>
        <v>0</v>
      </c>
      <c r="M16" s="85">
        <f t="shared" si="9"/>
        <v>0</v>
      </c>
      <c r="N16" s="85">
        <f t="shared" si="9"/>
        <v>0</v>
      </c>
      <c r="O16" s="85">
        <f t="shared" si="9"/>
        <v>0</v>
      </c>
    </row>
    <row r="17" spans="1:15" hidden="1" x14ac:dyDescent="0.3">
      <c r="A17" s="86" t="s">
        <v>245</v>
      </c>
      <c r="B17" s="85">
        <f>IF(B15&gt;55000,B15-55000,0)</f>
        <v>0</v>
      </c>
      <c r="C17" s="85">
        <f t="shared" ref="C17:O17" si="10">IF(C15&gt;55000,C15-55000,0)</f>
        <v>0</v>
      </c>
      <c r="D17" s="85">
        <f t="shared" si="10"/>
        <v>0</v>
      </c>
      <c r="E17" s="85">
        <f t="shared" si="10"/>
        <v>0</v>
      </c>
      <c r="F17" s="85">
        <f t="shared" si="10"/>
        <v>0</v>
      </c>
      <c r="G17" s="85">
        <f t="shared" si="10"/>
        <v>0</v>
      </c>
      <c r="H17" s="85">
        <f t="shared" si="10"/>
        <v>0</v>
      </c>
      <c r="I17" s="85">
        <f t="shared" si="10"/>
        <v>0</v>
      </c>
      <c r="J17" s="85">
        <f t="shared" si="10"/>
        <v>0</v>
      </c>
      <c r="K17" s="85">
        <f t="shared" si="10"/>
        <v>0</v>
      </c>
      <c r="L17" s="85">
        <f t="shared" si="10"/>
        <v>0</v>
      </c>
      <c r="M17" s="85">
        <f t="shared" si="10"/>
        <v>0</v>
      </c>
      <c r="N17" s="85">
        <f t="shared" si="10"/>
        <v>0</v>
      </c>
      <c r="O17" s="85">
        <f t="shared" si="10"/>
        <v>0</v>
      </c>
    </row>
    <row r="18" spans="1:15" x14ac:dyDescent="0.3">
      <c r="A18" s="84" t="s">
        <v>246</v>
      </c>
      <c r="B18" s="85">
        <f t="shared" ref="B18:O18" si="11">B17*30%</f>
        <v>0</v>
      </c>
      <c r="C18" s="85">
        <f t="shared" si="11"/>
        <v>0</v>
      </c>
      <c r="D18" s="85">
        <f t="shared" si="11"/>
        <v>0</v>
      </c>
      <c r="E18" s="85">
        <f t="shared" si="11"/>
        <v>0</v>
      </c>
      <c r="F18" s="85">
        <f t="shared" si="11"/>
        <v>0</v>
      </c>
      <c r="G18" s="85">
        <f t="shared" si="11"/>
        <v>0</v>
      </c>
      <c r="H18" s="85">
        <f t="shared" si="11"/>
        <v>0</v>
      </c>
      <c r="I18" s="85">
        <f t="shared" si="11"/>
        <v>0</v>
      </c>
      <c r="J18" s="85">
        <f t="shared" si="11"/>
        <v>0</v>
      </c>
      <c r="K18" s="85">
        <f t="shared" si="11"/>
        <v>0</v>
      </c>
      <c r="L18" s="85">
        <f t="shared" si="11"/>
        <v>0</v>
      </c>
      <c r="M18" s="85">
        <f t="shared" si="11"/>
        <v>0</v>
      </c>
      <c r="N18" s="85">
        <f t="shared" si="11"/>
        <v>0</v>
      </c>
      <c r="O18" s="85">
        <f t="shared" si="11"/>
        <v>0</v>
      </c>
    </row>
    <row r="19" spans="1:15" x14ac:dyDescent="0.3">
      <c r="A19" s="80"/>
      <c r="B19" s="87">
        <f t="shared" ref="B19:O19" si="12">+B10+B12+B14+B16+B18</f>
        <v>312.40000000000003</v>
      </c>
      <c r="C19" s="87">
        <f t="shared" si="12"/>
        <v>538.56000000000006</v>
      </c>
      <c r="D19" s="87">
        <f t="shared" si="12"/>
        <v>1443.2</v>
      </c>
      <c r="E19" s="87">
        <f t="shared" si="12"/>
        <v>1585.7871999999998</v>
      </c>
      <c r="F19" s="87">
        <f t="shared" si="12"/>
        <v>1358.9071999999996</v>
      </c>
      <c r="G19" s="87">
        <f t="shared" si="12"/>
        <v>-26.84</v>
      </c>
      <c r="H19" s="87">
        <f t="shared" si="12"/>
        <v>24549.25</v>
      </c>
      <c r="I19" s="87">
        <f t="shared" si="12"/>
        <v>13036.327600000001</v>
      </c>
      <c r="J19" s="87">
        <f t="shared" si="12"/>
        <v>1217.04</v>
      </c>
      <c r="K19" s="87">
        <f t="shared" si="12"/>
        <v>111.06719999999973</v>
      </c>
      <c r="L19" s="87">
        <f t="shared" si="12"/>
        <v>224.50719999999973</v>
      </c>
      <c r="M19" s="87">
        <f t="shared" si="12"/>
        <v>877.80000000000007</v>
      </c>
      <c r="N19" s="87">
        <f t="shared" si="12"/>
        <v>451.38719999999972</v>
      </c>
      <c r="O19" s="87">
        <f t="shared" si="12"/>
        <v>538.56000000000006</v>
      </c>
    </row>
    <row r="21" spans="1:15" x14ac:dyDescent="0.3">
      <c r="A21" t="s">
        <v>247</v>
      </c>
      <c r="B21" s="58">
        <f>+ROUND(B19/12,2)</f>
        <v>26.03</v>
      </c>
      <c r="C21" s="58">
        <f t="shared" ref="C21:O21" si="13">+ROUND(C19/12,2)</f>
        <v>44.88</v>
      </c>
      <c r="D21" s="58">
        <f t="shared" si="13"/>
        <v>120.27</v>
      </c>
      <c r="E21" s="58">
        <f t="shared" si="13"/>
        <v>132.15</v>
      </c>
      <c r="F21" s="58">
        <f t="shared" si="13"/>
        <v>113.24</v>
      </c>
      <c r="G21" s="58">
        <f t="shared" si="13"/>
        <v>-2.2400000000000002</v>
      </c>
      <c r="H21" s="58">
        <f t="shared" si="13"/>
        <v>2045.77</v>
      </c>
      <c r="I21" s="58">
        <f t="shared" si="13"/>
        <v>1086.3599999999999</v>
      </c>
      <c r="J21" s="58">
        <f t="shared" si="13"/>
        <v>101.42</v>
      </c>
      <c r="K21" s="58">
        <f t="shared" si="13"/>
        <v>9.26</v>
      </c>
      <c r="L21" s="58">
        <f t="shared" si="13"/>
        <v>18.71</v>
      </c>
      <c r="M21" s="58">
        <f t="shared" si="13"/>
        <v>73.150000000000006</v>
      </c>
      <c r="N21" s="58">
        <f t="shared" si="13"/>
        <v>37.619999999999997</v>
      </c>
      <c r="O21" s="58">
        <f t="shared" si="13"/>
        <v>44.88</v>
      </c>
    </row>
    <row r="23" spans="1:15" x14ac:dyDescent="0.3">
      <c r="B23" s="88">
        <f>+IF(COUNTIF(B10:B18,"&gt;0")=1,8%,IF(COUNTIF(B10:B18,"&gt;0")=3,14%,IF(COUNTIF(B10:B18,"&gt;0")=5,17%,IF(COUNTIF(B10:B18,"&gt;0")=7,20%,IF(COUNTIF(B10:B18,"&gt;0")&gt;7,30%,0)))))</f>
        <v>0.08</v>
      </c>
      <c r="C23" s="88">
        <f t="shared" ref="C23:O23" si="14">+IF(COUNTIF(C10:C18,"&gt;0")=1,8%,IF(COUNTIF(C10:C18,"&gt;0")=3,14%,IF(COUNTIF(C10:C18,"&gt;0")=5,17%,IF(COUNTIF(C10:C18,"&gt;0")=7,20%,IF(COUNTIF(C10:C18,"&gt;0")&gt;7,30%,0)))))</f>
        <v>0.08</v>
      </c>
      <c r="D23" s="88">
        <f t="shared" si="14"/>
        <v>0.08</v>
      </c>
      <c r="E23" s="88">
        <f t="shared" si="14"/>
        <v>0.08</v>
      </c>
      <c r="F23" s="88">
        <f t="shared" si="14"/>
        <v>0.08</v>
      </c>
      <c r="G23" s="88">
        <f t="shared" si="14"/>
        <v>0</v>
      </c>
      <c r="H23" s="88">
        <f t="shared" si="14"/>
        <v>0.17</v>
      </c>
      <c r="I23" s="88">
        <f t="shared" si="14"/>
        <v>0.14000000000000001</v>
      </c>
      <c r="J23" s="88">
        <f t="shared" si="14"/>
        <v>0.08</v>
      </c>
      <c r="K23" s="88">
        <f t="shared" si="14"/>
        <v>0.08</v>
      </c>
      <c r="L23" s="88">
        <f t="shared" si="14"/>
        <v>0.08</v>
      </c>
      <c r="M23" s="88">
        <f t="shared" si="14"/>
        <v>0.08</v>
      </c>
      <c r="N23" s="88">
        <f t="shared" si="14"/>
        <v>0.08</v>
      </c>
      <c r="O23" s="88">
        <f t="shared" si="14"/>
        <v>0.08</v>
      </c>
    </row>
    <row r="25" spans="1:15" x14ac:dyDescent="0.3">
      <c r="B25">
        <v>0.08</v>
      </c>
      <c r="C25">
        <v>0.08</v>
      </c>
      <c r="D25">
        <v>0.08</v>
      </c>
      <c r="E25">
        <v>0.08</v>
      </c>
      <c r="F25">
        <v>0.08</v>
      </c>
      <c r="G25">
        <v>0</v>
      </c>
      <c r="H25">
        <v>0.17</v>
      </c>
      <c r="I25">
        <v>0.14000000000000001</v>
      </c>
      <c r="J25">
        <v>0.08</v>
      </c>
      <c r="K25">
        <v>0.08</v>
      </c>
      <c r="L25">
        <v>0.08</v>
      </c>
      <c r="M25">
        <v>0.08</v>
      </c>
      <c r="N25">
        <v>0.08</v>
      </c>
      <c r="O25">
        <v>0.08</v>
      </c>
    </row>
    <row r="26" spans="1:15" x14ac:dyDescent="0.3">
      <c r="B26" t="b">
        <f>B25=B23</f>
        <v>1</v>
      </c>
      <c r="C26" t="b">
        <f t="shared" ref="C26:O26" si="15">C25=C23</f>
        <v>1</v>
      </c>
      <c r="D26" t="b">
        <f t="shared" si="15"/>
        <v>1</v>
      </c>
      <c r="E26" t="b">
        <f t="shared" si="15"/>
        <v>1</v>
      </c>
      <c r="F26" t="b">
        <f t="shared" si="15"/>
        <v>1</v>
      </c>
      <c r="G26" t="b">
        <f t="shared" si="15"/>
        <v>1</v>
      </c>
      <c r="H26" t="b">
        <f t="shared" si="15"/>
        <v>1</v>
      </c>
      <c r="I26" t="b">
        <f t="shared" si="15"/>
        <v>1</v>
      </c>
      <c r="J26" t="b">
        <f t="shared" si="15"/>
        <v>1</v>
      </c>
      <c r="K26" t="b">
        <f t="shared" si="15"/>
        <v>1</v>
      </c>
      <c r="L26" t="b">
        <f t="shared" si="15"/>
        <v>1</v>
      </c>
      <c r="M26" t="b">
        <f t="shared" si="15"/>
        <v>1</v>
      </c>
      <c r="N26" t="b">
        <f t="shared" si="15"/>
        <v>1</v>
      </c>
      <c r="O26" t="b">
        <f t="shared" si="15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656e19-98c4-4e90-aa40-a4d55bea9a18" xsi:nil="true"/>
    <lcf76f155ced4ddcb4097134ff3c332f xmlns="aecbad68-a2c2-4b85-a1da-77d0fdce30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7AFF9FF15EA4AAEC7E42DD910FB34" ma:contentTypeVersion="13" ma:contentTypeDescription="Crear nuevo documento." ma:contentTypeScope="" ma:versionID="eb9dff5f671641f6e42778d5196c899c">
  <xsd:schema xmlns:xsd="http://www.w3.org/2001/XMLSchema" xmlns:xs="http://www.w3.org/2001/XMLSchema" xmlns:p="http://schemas.microsoft.com/office/2006/metadata/properties" xmlns:ns2="aecbad68-a2c2-4b85-a1da-77d0fdce3061" xmlns:ns3="d7656e19-98c4-4e90-aa40-a4d55bea9a18" targetNamespace="http://schemas.microsoft.com/office/2006/metadata/properties" ma:root="true" ma:fieldsID="7673cbd1370992df9dba8e6b1ce5077f" ns2:_="" ns3:_="">
    <xsd:import namespace="aecbad68-a2c2-4b85-a1da-77d0fdce3061"/>
    <xsd:import namespace="d7656e19-98c4-4e90-aa40-a4d55bea9a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ad68-a2c2-4b85-a1da-77d0fdce3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7b43be3-6744-44b4-b249-6ebc70a3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56e19-98c4-4e90-aa40-a4d55bea9a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bbbde3-97e9-4c1a-9896-3a3bb739a68c}" ma:internalName="TaxCatchAll" ma:showField="CatchAllData" ma:web="d7656e19-98c4-4e90-aa40-a4d55bea9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373150-7D02-4ABF-AD78-306FB13AE9DE}">
  <ds:schemaRefs>
    <ds:schemaRef ds:uri="http://schemas.microsoft.com/office/2006/metadata/properties"/>
    <ds:schemaRef ds:uri="http://schemas.microsoft.com/office/infopath/2007/PartnerControls"/>
    <ds:schemaRef ds:uri="d7656e19-98c4-4e90-aa40-a4d55bea9a18"/>
    <ds:schemaRef ds:uri="aecbad68-a2c2-4b85-a1da-77d0fdce3061"/>
  </ds:schemaRefs>
</ds:datastoreItem>
</file>

<file path=customXml/itemProps2.xml><?xml version="1.0" encoding="utf-8"?>
<ds:datastoreItem xmlns:ds="http://schemas.openxmlformats.org/officeDocument/2006/customXml" ds:itemID="{5E5DD2E0-3DBA-4828-BFB3-A9E0A70F09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ad68-a2c2-4b85-a1da-77d0fdce3061"/>
    <ds:schemaRef ds:uri="d7656e19-98c4-4e90-aa40-a4d55bea9a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E8BC00-B540-4126-B1D8-161911CEB2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dias mes</vt:lpstr>
      <vt:lpstr>UTILIDADES</vt:lpstr>
      <vt:lpstr>BOLETA</vt:lpstr>
      <vt:lpstr>DIAS</vt:lpstr>
      <vt:lpstr>REM</vt:lpstr>
      <vt:lpstr>DIC_2025</vt:lpstr>
      <vt:lpstr>PLAME</vt:lpstr>
      <vt:lpstr>5TA</vt:lpstr>
      <vt:lpstr>BOLETA!Área_de_impresión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MSHM</dc:creator>
  <cp:lastModifiedBy>Miguel Huaman Medina</cp:lastModifiedBy>
  <dcterms:created xsi:type="dcterms:W3CDTF">2026-03-11T15:45:18Z</dcterms:created>
  <dcterms:modified xsi:type="dcterms:W3CDTF">2026-04-09T17:29:41Z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